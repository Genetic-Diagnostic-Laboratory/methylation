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guyea\Documents\methylation-report\template\"/>
    </mc:Choice>
  </mc:AlternateContent>
  <xr:revisionPtr revIDLastSave="0" documentId="13_ncr:1_{1607C2A4-4AF2-4418-A880-64B55DC77623}" xr6:coauthVersionLast="47" xr6:coauthVersionMax="47" xr10:uidLastSave="{00000000-0000-0000-0000-000000000000}"/>
  <bookViews>
    <workbookView xWindow="-120" yWindow="-120" windowWidth="29040" windowHeight="15840" tabRatio="594" xr2:uid="{00000000-000D-0000-FFFF-FFFF00000000}"/>
  </bookViews>
  <sheets>
    <sheet name="Print Me" sheetId="11" r:id="rId1"/>
    <sheet name="Final" sheetId="9" r:id="rId2"/>
    <sheet name="Summarized Data" sheetId="1" r:id="rId3"/>
    <sheet name="StepOne Data" sheetId="10" r:id="rId4"/>
    <sheet name="RAW DATA" sheetId="6" r:id="rId5"/>
    <sheet name="CN DATA" sheetId="7" r:id="rId6"/>
    <sheet name="GRAPH" sheetId="8" r:id="rId7"/>
    <sheet name="GDL GRAPH" sheetId="5" r:id="rId8"/>
    <sheet name="Sheet1" sheetId="14" r:id="rId9"/>
  </sheets>
  <definedNames>
    <definedName name="_xleta.TEXT" hidden="1" xlm="1">#NAME?</definedName>
    <definedName name="Beckwith_worksheet_template__Lot_Numbers__.od" localSheetId="2" hidden="1">'Summarized Data'!#REF!</definedName>
    <definedName name="Beckwith_worksheet_template_with_lotnumbers__Lot_Numbers__.od" localSheetId="0" hidden="1">'Print Me'!#REF!</definedName>
    <definedName name="Beckwith_worksheet_template_with_lotnumbers_1" localSheetId="0" hidden="1">'Print Me'!$C$22:$G$31</definedName>
    <definedName name="_xlnm.Print_Area" localSheetId="0">'Print Me'!$A$1:$J$32</definedName>
    <definedName name="_xlnm.Print_Area" localSheetId="2">'Summarized Data'!$A$1:$J$20</definedName>
  </definedNames>
  <calcPr calcId="191029"/>
  <customWorkbookViews>
    <customWorkbookView name="Graph" guid="{07198B33-CC73-4AA7-9DB4-40B4BEF2EAD4}" maximized="1" xWindow="1" yWindow="1" windowWidth="1680" windowHeight="829" activeSheetId="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6" l="1"/>
  <c r="E38" i="14" l="1"/>
  <c r="E37" i="14"/>
  <c r="C38" i="14"/>
  <c r="C37" i="14"/>
  <c r="E35" i="6"/>
  <c r="F35" i="6" s="1"/>
  <c r="E36" i="6"/>
  <c r="E17" i="6"/>
  <c r="F17" i="6" s="1"/>
  <c r="G17" i="6" s="1"/>
  <c r="H6" i="10"/>
  <c r="G8" i="11"/>
  <c r="C10" i="11" l="1"/>
  <c r="C7" i="11"/>
  <c r="C8" i="11"/>
  <c r="C9" i="11"/>
  <c r="C6" i="11"/>
  <c r="D10" i="11"/>
  <c r="D9" i="11"/>
  <c r="D7" i="11"/>
  <c r="D8" i="11"/>
  <c r="A10" i="1" l="1"/>
  <c r="A7" i="10"/>
  <c r="H7" i="10" s="1"/>
  <c r="A8" i="10"/>
  <c r="H38" i="10"/>
  <c r="H37" i="10"/>
  <c r="H36" i="10"/>
  <c r="H35" i="10"/>
  <c r="H34" i="10"/>
  <c r="H33" i="10"/>
  <c r="H32" i="10"/>
  <c r="H31" i="10"/>
  <c r="H30" i="10"/>
  <c r="H20" i="10"/>
  <c r="H19" i="10"/>
  <c r="H18" i="10"/>
  <c r="H17" i="10"/>
  <c r="H16" i="10"/>
  <c r="H15" i="10"/>
  <c r="H14" i="10"/>
  <c r="H13" i="10"/>
  <c r="H12" i="10"/>
  <c r="B1" i="11" l="1"/>
  <c r="A19" i="1"/>
  <c r="B3" i="14"/>
  <c r="H26" i="10" l="1"/>
  <c r="A26" i="10"/>
  <c r="H25" i="10"/>
  <c r="A25" i="10"/>
  <c r="H24" i="10"/>
  <c r="A24" i="10"/>
  <c r="H8" i="10"/>
  <c r="E14" i="14"/>
  <c r="E13" i="14"/>
  <c r="C14" i="14"/>
  <c r="C13" i="14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3" i="7"/>
  <c r="B6" i="11"/>
  <c r="D6" i="11"/>
  <c r="G6" i="11"/>
  <c r="B7" i="11"/>
  <c r="G7" i="11"/>
  <c r="B8" i="11"/>
  <c r="B9" i="11"/>
  <c r="G9" i="11"/>
  <c r="B10" i="11"/>
  <c r="G10" i="11"/>
  <c r="H7" i="11"/>
  <c r="I7" i="11"/>
  <c r="H8" i="11"/>
  <c r="I8" i="11"/>
  <c r="H9" i="11"/>
  <c r="I9" i="11"/>
  <c r="H10" i="11"/>
  <c r="I10" i="11"/>
  <c r="H6" i="11"/>
  <c r="I6" i="11"/>
  <c r="A10" i="11"/>
  <c r="R14" i="6"/>
  <c r="R35" i="6"/>
  <c r="E19" i="6"/>
  <c r="F19" i="6" s="1"/>
  <c r="G19" i="6" s="1"/>
  <c r="E40" i="6"/>
  <c r="F40" i="6" s="1"/>
  <c r="G40" i="6" s="1"/>
  <c r="E39" i="6"/>
  <c r="F39" i="6" s="1"/>
  <c r="G39" i="6" s="1"/>
  <c r="E38" i="6"/>
  <c r="F37" i="6"/>
  <c r="G37" i="6" s="1"/>
  <c r="F36" i="6"/>
  <c r="G36" i="6" s="1"/>
  <c r="G35" i="6"/>
  <c r="E34" i="6"/>
  <c r="F34" i="6" s="1"/>
  <c r="G34" i="6" s="1"/>
  <c r="E33" i="6"/>
  <c r="F33" i="6" s="1"/>
  <c r="G33" i="6" s="1"/>
  <c r="E32" i="6"/>
  <c r="E31" i="6"/>
  <c r="F31" i="6" s="1"/>
  <c r="G31" i="6" s="1"/>
  <c r="E30" i="6"/>
  <c r="F30" i="6" s="1"/>
  <c r="G30" i="6" s="1"/>
  <c r="E29" i="6"/>
  <c r="E28" i="6"/>
  <c r="F28" i="6" s="1"/>
  <c r="G28" i="6" s="1"/>
  <c r="E27" i="6"/>
  <c r="F27" i="6" s="1"/>
  <c r="G27" i="6" s="1"/>
  <c r="E26" i="6"/>
  <c r="E18" i="6"/>
  <c r="F18" i="6" s="1"/>
  <c r="G18" i="6" s="1"/>
  <c r="E16" i="6"/>
  <c r="F16" i="6" s="1"/>
  <c r="G16" i="6" s="1"/>
  <c r="E15" i="6"/>
  <c r="F15" i="6" s="1"/>
  <c r="G15" i="6" s="1"/>
  <c r="E14" i="6"/>
  <c r="F14" i="6" s="1"/>
  <c r="G14" i="6" s="1"/>
  <c r="E13" i="6"/>
  <c r="F13" i="6" s="1"/>
  <c r="G13" i="6" s="1"/>
  <c r="E12" i="6"/>
  <c r="F12" i="6" s="1"/>
  <c r="G12" i="6" s="1"/>
  <c r="E11" i="6"/>
  <c r="E10" i="6"/>
  <c r="F10" i="6" s="1"/>
  <c r="G10" i="6" s="1"/>
  <c r="E9" i="6"/>
  <c r="E8" i="6"/>
  <c r="E7" i="6"/>
  <c r="F7" i="6" s="1"/>
  <c r="G7" i="6" s="1"/>
  <c r="E6" i="6"/>
  <c r="F6" i="6" s="1"/>
  <c r="G6" i="6" s="1"/>
  <c r="E5" i="6"/>
  <c r="K29" i="6" l="1"/>
  <c r="K5" i="6"/>
  <c r="K8" i="6"/>
  <c r="K11" i="6"/>
  <c r="K26" i="6"/>
  <c r="K32" i="6"/>
  <c r="F29" i="6"/>
  <c r="G29" i="6" s="1"/>
  <c r="H29" i="6" s="1"/>
  <c r="I29" i="6" s="1"/>
  <c r="F11" i="6"/>
  <c r="G11" i="6" s="1"/>
  <c r="J11" i="6" s="1"/>
  <c r="F26" i="6"/>
  <c r="G26" i="6" s="1"/>
  <c r="J26" i="6" s="1"/>
  <c r="F8" i="6"/>
  <c r="G8" i="6" s="1"/>
  <c r="C16" i="14"/>
  <c r="C15" i="14"/>
  <c r="E40" i="14"/>
  <c r="E15" i="14"/>
  <c r="C39" i="14"/>
  <c r="E39" i="14"/>
  <c r="E16" i="14"/>
  <c r="C40" i="14"/>
  <c r="F9" i="6"/>
  <c r="G9" i="6" s="1"/>
  <c r="F5" i="6"/>
  <c r="G5" i="6" s="1"/>
  <c r="H14" i="6"/>
  <c r="I14" i="6" s="1"/>
  <c r="J14" i="6"/>
  <c r="H17" i="6"/>
  <c r="I17" i="6" s="1"/>
  <c r="J17" i="6"/>
  <c r="F32" i="6"/>
  <c r="G32" i="6" s="1"/>
  <c r="F38" i="6"/>
  <c r="G38" i="6" s="1"/>
  <c r="H35" i="6"/>
  <c r="I35" i="6" s="1"/>
  <c r="J35" i="6"/>
  <c r="K3" i="6" l="1"/>
  <c r="L5" i="6" s="1"/>
  <c r="M5" i="6" s="1"/>
  <c r="N5" i="6" s="1"/>
  <c r="J29" i="6"/>
  <c r="H11" i="6"/>
  <c r="I11" i="6" s="1"/>
  <c r="H26" i="6"/>
  <c r="I26" i="6" s="1"/>
  <c r="J8" i="6"/>
  <c r="K24" i="6"/>
  <c r="L26" i="6" s="1"/>
  <c r="M26" i="6" s="1"/>
  <c r="N26" i="6" s="1"/>
  <c r="H8" i="6"/>
  <c r="I8" i="6" s="1"/>
  <c r="J5" i="6"/>
  <c r="H5" i="6"/>
  <c r="I5" i="6" s="1"/>
  <c r="J32" i="6"/>
  <c r="H32" i="6"/>
  <c r="I32" i="6" s="1"/>
  <c r="H38" i="6"/>
  <c r="I38" i="6" s="1"/>
  <c r="J38" i="6"/>
  <c r="L19" i="6" l="1"/>
  <c r="M19" i="6" s="1"/>
  <c r="N19" i="6" s="1"/>
  <c r="L8" i="6"/>
  <c r="M8" i="6" s="1"/>
  <c r="N8" i="6" s="1"/>
  <c r="L10" i="6"/>
  <c r="M10" i="6" s="1"/>
  <c r="N10" i="6" s="1"/>
  <c r="L6" i="6"/>
  <c r="M6" i="6" s="1"/>
  <c r="N6" i="6" s="1"/>
  <c r="L15" i="6"/>
  <c r="M15" i="6" s="1"/>
  <c r="N15" i="6" s="1"/>
  <c r="L14" i="6"/>
  <c r="M14" i="6" s="1"/>
  <c r="N14" i="6" s="1"/>
  <c r="L16" i="6"/>
  <c r="M16" i="6" s="1"/>
  <c r="N16" i="6" s="1"/>
  <c r="L35" i="6"/>
  <c r="M35" i="6" s="1"/>
  <c r="N35" i="6" s="1"/>
  <c r="L12" i="6"/>
  <c r="M12" i="6" s="1"/>
  <c r="N12" i="6" s="1"/>
  <c r="L18" i="6"/>
  <c r="M18" i="6" s="1"/>
  <c r="N18" i="6" s="1"/>
  <c r="L9" i="6"/>
  <c r="M9" i="6" s="1"/>
  <c r="N9" i="6" s="1"/>
  <c r="L7" i="6"/>
  <c r="M7" i="6" s="1"/>
  <c r="N7" i="6" s="1"/>
  <c r="L28" i="6"/>
  <c r="M28" i="6" s="1"/>
  <c r="N28" i="6" s="1"/>
  <c r="L30" i="6"/>
  <c r="M30" i="6" s="1"/>
  <c r="N30" i="6" s="1"/>
  <c r="L34" i="6"/>
  <c r="M34" i="6" s="1"/>
  <c r="N34" i="6" s="1"/>
  <c r="L38" i="6"/>
  <c r="M38" i="6" s="1"/>
  <c r="N38" i="6" s="1"/>
  <c r="L31" i="6"/>
  <c r="M31" i="6" s="1"/>
  <c r="N31" i="6" s="1"/>
  <c r="L29" i="6"/>
  <c r="M29" i="6" s="1"/>
  <c r="N29" i="6" s="1"/>
  <c r="L33" i="6"/>
  <c r="M33" i="6" s="1"/>
  <c r="N33" i="6" s="1"/>
  <c r="L40" i="6"/>
  <c r="M40" i="6" s="1"/>
  <c r="N40" i="6" s="1"/>
  <c r="L39" i="6"/>
  <c r="M39" i="6" s="1"/>
  <c r="N39" i="6" s="1"/>
  <c r="L27" i="6"/>
  <c r="M27" i="6" s="1"/>
  <c r="N27" i="6" s="1"/>
  <c r="L32" i="6"/>
  <c r="M32" i="6" s="1"/>
  <c r="N32" i="6" s="1"/>
  <c r="L37" i="6"/>
  <c r="M37" i="6" s="1"/>
  <c r="N37" i="6" s="1"/>
  <c r="L36" i="6"/>
  <c r="M36" i="6" s="1"/>
  <c r="N36" i="6" s="1"/>
  <c r="L11" i="6"/>
  <c r="M11" i="6" s="1"/>
  <c r="N11" i="6" s="1"/>
  <c r="L17" i="6"/>
  <c r="M17" i="6" s="1"/>
  <c r="N17" i="6" s="1"/>
  <c r="L13" i="6"/>
  <c r="M13" i="6" s="1"/>
  <c r="N13" i="6" s="1"/>
  <c r="S32" i="6" l="1"/>
  <c r="O38" i="6"/>
  <c r="P38" i="6" s="1"/>
  <c r="O8" i="6"/>
  <c r="P8" i="6" s="1"/>
  <c r="O5" i="6"/>
  <c r="P5" i="6" s="1"/>
  <c r="Q32" i="6"/>
  <c r="Q35" i="6"/>
  <c r="Q17" i="6"/>
  <c r="O14" i="6"/>
  <c r="P14" i="6" s="1"/>
  <c r="Q29" i="6"/>
  <c r="O35" i="6"/>
  <c r="P35" i="6" s="1"/>
  <c r="Q8" i="6"/>
  <c r="Q11" i="6"/>
  <c r="Q14" i="6"/>
  <c r="O29" i="6"/>
  <c r="P29" i="6" s="1"/>
  <c r="O32" i="6"/>
  <c r="P32" i="6" s="1"/>
  <c r="Q38" i="6"/>
  <c r="O17" i="6"/>
  <c r="P17" i="6" s="1"/>
  <c r="S11" i="6"/>
  <c r="O11" i="6"/>
  <c r="P11" i="6" s="1"/>
  <c r="Q5" i="6"/>
  <c r="U20" i="6"/>
  <c r="D14" i="1" s="1"/>
  <c r="O26" i="6"/>
  <c r="P26" i="6" s="1"/>
  <c r="Q26" i="6"/>
  <c r="U21" i="6"/>
  <c r="D15" i="1" s="1"/>
  <c r="D15" i="11" s="1"/>
  <c r="U22" i="6" l="1"/>
  <c r="U23" i="6"/>
  <c r="D17" i="1"/>
  <c r="D14" i="11"/>
  <c r="D16" i="1"/>
  <c r="E9" i="1" l="1"/>
  <c r="E9" i="11" s="1"/>
  <c r="E11" i="1"/>
  <c r="E7" i="1"/>
  <c r="E7" i="11" s="1"/>
  <c r="D16" i="11"/>
  <c r="E10" i="1"/>
  <c r="E10" i="11" s="1"/>
  <c r="E8" i="1"/>
  <c r="E8" i="11" s="1"/>
  <c r="E6" i="1"/>
  <c r="E6" i="11" s="1"/>
  <c r="E5" i="1"/>
  <c r="F6" i="1"/>
  <c r="F6" i="11" s="1"/>
  <c r="D17" i="11"/>
  <c r="F10" i="1"/>
  <c r="F10" i="11" s="1"/>
  <c r="F7" i="1"/>
  <c r="F7" i="11" s="1"/>
  <c r="F5" i="1"/>
  <c r="F11" i="1"/>
  <c r="F9" i="1"/>
  <c r="F9" i="11" s="1"/>
  <c r="F8" i="1"/>
  <c r="F8" i="11" s="1"/>
  <c r="H11" i="11" l="1"/>
  <c r="F5" i="11"/>
  <c r="E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L:\2 Test Forms and Protocols\SOPs\Test Specific Protocols\Section 4B_BWS\Beckwith worksheet template with lotnumbers.xlsx" keepAlive="1" name="Beckwith worksheet template with lotnumbers" type="5" refreshedVersion="6" background="1" saveData="1">
    <dbPr connection="Provider=Microsoft.ACE.OLEDB.12.0;User ID=Admin;Data Source=L:\2 Test Forms and Protocols\SOPs\Test Specific Protocols\Section 4B_BWS\Beckwith worksheet template with lotnumber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Lot Numbers$'" commandType="3"/>
  </connection>
</connections>
</file>

<file path=xl/sharedStrings.xml><?xml version="1.0" encoding="utf-8"?>
<sst xmlns="http://schemas.openxmlformats.org/spreadsheetml/2006/main" count="306" uniqueCount="106">
  <si>
    <t>ICR1</t>
  </si>
  <si>
    <t>Sample Name</t>
  </si>
  <si>
    <t>M'</t>
  </si>
  <si>
    <t>UM'</t>
  </si>
  <si>
    <t>SD'</t>
  </si>
  <si>
    <t>Paternal Allele</t>
  </si>
  <si>
    <t>Maternal Allele</t>
  </si>
  <si>
    <t>ICR2</t>
  </si>
  <si>
    <t>11p15 Methylation</t>
  </si>
  <si>
    <t>GDL SAMPLE NAME</t>
  </si>
  <si>
    <t>RE2-1480</t>
  </si>
  <si>
    <t>RE2-1489</t>
  </si>
  <si>
    <t>2 Stand Dev Limits</t>
  </si>
  <si>
    <t>Lower</t>
  </si>
  <si>
    <t>Higher</t>
  </si>
  <si>
    <t>Positive Control</t>
  </si>
  <si>
    <t>ICR1 UM</t>
  </si>
  <si>
    <t>ICR1 M</t>
  </si>
  <si>
    <t>Δ Ct</t>
  </si>
  <si>
    <t>2 -Δ Ct</t>
  </si>
  <si>
    <t>%</t>
  </si>
  <si>
    <t>M</t>
  </si>
  <si>
    <t>UM</t>
  </si>
  <si>
    <t>SD</t>
  </si>
  <si>
    <t>Δ Ct Ave</t>
  </si>
  <si>
    <t>Δ Ct'</t>
  </si>
  <si>
    <t>2 -Δ Ct'</t>
  </si>
  <si>
    <t>%'</t>
  </si>
  <si>
    <t>RE2-1458</t>
  </si>
  <si>
    <t>ICR2 UM</t>
  </si>
  <si>
    <t>ICR2 M</t>
  </si>
  <si>
    <t>Normal A</t>
  </si>
  <si>
    <t>Normal B</t>
  </si>
  <si>
    <t>Normal C</t>
  </si>
  <si>
    <t>VIC Allele</t>
  </si>
  <si>
    <t>FAM Allele</t>
  </si>
  <si>
    <t>Adjusted %</t>
  </si>
  <si>
    <t>ICR1 Methylation</t>
  </si>
  <si>
    <t>ICR2 Methylation</t>
  </si>
  <si>
    <t>DELTA MAX</t>
  </si>
  <si>
    <t>DELTA MIN</t>
  </si>
  <si>
    <t>RQ MAX</t>
  </si>
  <si>
    <t>RQ MIN</t>
  </si>
  <si>
    <t>RQ</t>
  </si>
  <si>
    <t>ASSAY</t>
  </si>
  <si>
    <t>PLATE</t>
  </si>
  <si>
    <t>Patient #</t>
  </si>
  <si>
    <t>For this sheet:</t>
  </si>
  <si>
    <t>* Change Plate name</t>
  </si>
  <si>
    <t>* Change Patient ID</t>
  </si>
  <si>
    <t>* Insert data into RQ, RQ min and RQ max</t>
  </si>
  <si>
    <t>** MAKE SURE YOU ARE PASTING INTO CORRECT PLACES **</t>
  </si>
  <si>
    <t>A</t>
  </si>
  <si>
    <t>B</t>
  </si>
  <si>
    <t>C</t>
  </si>
  <si>
    <t>PLATE #</t>
  </si>
  <si>
    <t>PRESS crtl k to copy data</t>
  </si>
  <si>
    <t>ICR1_CBS2 M</t>
  </si>
  <si>
    <t>ICR1_CBS2 UM</t>
  </si>
  <si>
    <t>Average</t>
  </si>
  <si>
    <t>Stand dev</t>
  </si>
  <si>
    <t>2minus</t>
  </si>
  <si>
    <t>2plus</t>
  </si>
  <si>
    <t>2minus Stand Dev</t>
  </si>
  <si>
    <t>2plus Stand Dev</t>
  </si>
  <si>
    <t>PATIENT</t>
  </si>
  <si>
    <t>AVG</t>
  </si>
  <si>
    <t>STD</t>
  </si>
  <si>
    <t>CONTROLS</t>
  </si>
  <si>
    <t>Crtl L to copy from StepOne Data to Raw Data</t>
  </si>
  <si>
    <t>LOWER</t>
  </si>
  <si>
    <t>UPPER</t>
  </si>
  <si>
    <t>Normal</t>
  </si>
  <si>
    <t>LOM</t>
  </si>
  <si>
    <t>GOM</t>
  </si>
  <si>
    <t>Low Level Mosaic</t>
  </si>
  <si>
    <t>Mosaic</t>
  </si>
  <si>
    <t xml:space="preserve"> </t>
  </si>
  <si>
    <t>F Primer Lot</t>
  </si>
  <si>
    <t>R Primer Lot</t>
  </si>
  <si>
    <t>UM Probe Lot</t>
  </si>
  <si>
    <t>M Probe Lot</t>
  </si>
  <si>
    <t xml:space="preserve">Taq Lot </t>
  </si>
  <si>
    <t>Water Lot</t>
  </si>
  <si>
    <t>Reagent</t>
  </si>
  <si>
    <t>ICR1 Expiration Date</t>
  </si>
  <si>
    <t>ICR2 Expiration Date</t>
  </si>
  <si>
    <t>RUN 1</t>
  </si>
  <si>
    <t>RUN 2</t>
  </si>
  <si>
    <t>ICR1 LOT#</t>
  </si>
  <si>
    <t>ICR2 LOT#</t>
  </si>
  <si>
    <t>Lot #</t>
  </si>
  <si>
    <t>Exp. Date</t>
  </si>
  <si>
    <t>8283186-21</t>
  </si>
  <si>
    <t>8283186-23</t>
  </si>
  <si>
    <t>8283186-17</t>
  </si>
  <si>
    <t>5524788-027BC</t>
  </si>
  <si>
    <t>5524788-026BC</t>
  </si>
  <si>
    <t>5524788-028BC</t>
  </si>
  <si>
    <t>5524788-020BC</t>
  </si>
  <si>
    <t>z</t>
  </si>
  <si>
    <t>BWR_QS6_METHYL_XXXX_MMDDYY_XX</t>
  </si>
  <si>
    <t>BWR-XXXX</t>
  </si>
  <si>
    <t>BWR QS6 XXXX</t>
  </si>
  <si>
    <t>Control X</t>
  </si>
  <si>
    <t>HCT116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</si>
</sst>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5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Arial"/>
      <family val="2"/>
    </font>
    <font>
      <sz val="8"/>
      <name val="Verdana"/>
      <family val="2"/>
    </font>
    <font>
      <sz val="12"/>
      <color theme="1"/>
      <name val="Arial"/>
      <family val="2"/>
    </font>
    <font>
      <b/>
      <sz val="12"/>
      <color theme="4"/>
      <name val="Arial"/>
      <family val="2"/>
    </font>
    <font>
      <b/>
      <sz val="12"/>
      <color theme="9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0"/>
      <color rgb="FF00000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indexed="64"/>
      </bottom>
      <diagonal/>
    </border>
    <border>
      <left/>
      <right/>
      <top style="medium">
        <color theme="4"/>
      </top>
      <bottom style="medium">
        <color indexed="64"/>
      </bottom>
      <diagonal/>
    </border>
    <border>
      <left/>
      <right style="medium">
        <color theme="4"/>
      </right>
      <top style="medium">
        <color theme="4"/>
      </top>
      <bottom style="medium">
        <color indexed="64"/>
      </bottom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indexed="64"/>
      </bottom>
      <diagonal/>
    </border>
    <border>
      <left/>
      <right/>
      <top style="medium">
        <color theme="9" tint="-0.24994659260841701"/>
      </top>
      <bottom style="medium">
        <color indexed="64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indexed="64"/>
      </bottom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6" fillId="0" borderId="0" applyFont="0" applyFill="0" applyBorder="0" applyAlignment="0" applyProtection="0"/>
    <xf numFmtId="0" fontId="15" fillId="0" borderId="0"/>
    <xf numFmtId="0" fontId="16" fillId="0" borderId="0"/>
    <xf numFmtId="0" fontId="18" fillId="0" borderId="0"/>
  </cellStyleXfs>
  <cellXfs count="107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8" fillId="0" borderId="0" xfId="0" applyFont="1"/>
    <xf numFmtId="0" fontId="3" fillId="0" borderId="0" xfId="1" applyFont="1"/>
    <xf numFmtId="10" fontId="2" fillId="0" borderId="0" xfId="2" applyNumberFormat="1" applyFont="1" applyBorder="1" applyAlignment="1">
      <alignment horizontal="center" vertical="center"/>
    </xf>
    <xf numFmtId="10" fontId="3" fillId="0" borderId="0" xfId="2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10" fontId="8" fillId="0" borderId="0" xfId="8" applyNumberFormat="1" applyFont="1" applyBorder="1"/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10" fontId="10" fillId="0" borderId="4" xfId="0" applyNumberFormat="1" applyFont="1" applyBorder="1" applyAlignment="1">
      <alignment horizontal="center"/>
    </xf>
    <xf numFmtId="10" fontId="10" fillId="0" borderId="0" xfId="0" applyNumberFormat="1" applyFont="1" applyAlignment="1">
      <alignment horizontal="center"/>
    </xf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10" fontId="11" fillId="0" borderId="0" xfId="2" applyNumberFormat="1" applyFont="1" applyBorder="1" applyAlignment="1">
      <alignment horizontal="center" vertical="center"/>
    </xf>
    <xf numFmtId="10" fontId="12" fillId="0" borderId="0" xfId="2" applyNumberFormat="1" applyFont="1" applyBorder="1" applyAlignment="1">
      <alignment horizontal="center" vertical="center"/>
    </xf>
    <xf numFmtId="0" fontId="0" fillId="0" borderId="8" xfId="0" applyBorder="1"/>
    <xf numFmtId="0" fontId="7" fillId="0" borderId="0" xfId="0" applyFont="1"/>
    <xf numFmtId="0" fontId="7" fillId="3" borderId="0" xfId="0" applyFont="1" applyFill="1"/>
    <xf numFmtId="0" fontId="7" fillId="4" borderId="0" xfId="0" applyFont="1" applyFill="1"/>
    <xf numFmtId="0" fontId="7" fillId="2" borderId="0" xfId="0" applyFont="1" applyFill="1"/>
    <xf numFmtId="0" fontId="7" fillId="5" borderId="0" xfId="0" applyFont="1" applyFill="1"/>
    <xf numFmtId="0" fontId="0" fillId="6" borderId="0" xfId="0" applyFill="1"/>
    <xf numFmtId="0" fontId="13" fillId="7" borderId="0" xfId="0" applyFont="1" applyFill="1"/>
    <xf numFmtId="10" fontId="0" fillId="0" borderId="0" xfId="0" applyNumberFormat="1"/>
    <xf numFmtId="10" fontId="0" fillId="0" borderId="0" xfId="8" applyNumberFormat="1" applyFont="1" applyFill="1"/>
    <xf numFmtId="10" fontId="8" fillId="0" borderId="0" xfId="0" applyNumberFormat="1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8" fillId="0" borderId="9" xfId="0" applyFont="1" applyBorder="1"/>
    <xf numFmtId="10" fontId="10" fillId="0" borderId="9" xfId="0" applyNumberFormat="1" applyFont="1" applyBorder="1" applyAlignment="1">
      <alignment horizontal="center"/>
    </xf>
    <xf numFmtId="10" fontId="8" fillId="0" borderId="9" xfId="0" applyNumberFormat="1" applyFont="1" applyBorder="1"/>
    <xf numFmtId="0" fontId="8" fillId="0" borderId="9" xfId="0" applyFont="1" applyBorder="1" applyAlignment="1">
      <alignment horizontal="center"/>
    </xf>
    <xf numFmtId="0" fontId="0" fillId="0" borderId="9" xfId="0" applyBorder="1"/>
    <xf numFmtId="10" fontId="0" fillId="0" borderId="9" xfId="8" applyNumberFormat="1" applyFont="1" applyFill="1" applyBorder="1"/>
    <xf numFmtId="10" fontId="14" fillId="0" borderId="9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10" fontId="3" fillId="0" borderId="10" xfId="2" applyNumberFormat="1" applyFont="1" applyBorder="1" applyAlignment="1">
      <alignment horizontal="center" vertical="center"/>
    </xf>
    <xf numFmtId="0" fontId="8" fillId="0" borderId="11" xfId="0" applyFont="1" applyBorder="1"/>
    <xf numFmtId="10" fontId="3" fillId="0" borderId="11" xfId="2" applyNumberFormat="1" applyFont="1" applyBorder="1" applyAlignment="1">
      <alignment horizontal="center" vertical="center"/>
    </xf>
    <xf numFmtId="10" fontId="2" fillId="0" borderId="12" xfId="2" applyNumberFormat="1" applyFont="1" applyBorder="1" applyAlignment="1">
      <alignment horizontal="center" vertical="center"/>
    </xf>
    <xf numFmtId="10" fontId="3" fillId="0" borderId="13" xfId="2" applyNumberFormat="1" applyFont="1" applyBorder="1" applyAlignment="1">
      <alignment horizontal="center" vertical="center"/>
    </xf>
    <xf numFmtId="10" fontId="14" fillId="0" borderId="0" xfId="0" applyNumberFormat="1" applyFont="1" applyAlignment="1">
      <alignment horizontal="center"/>
    </xf>
    <xf numFmtId="10" fontId="11" fillId="0" borderId="14" xfId="2" applyNumberFormat="1" applyFont="1" applyBorder="1" applyAlignment="1">
      <alignment horizontal="center" vertical="center"/>
    </xf>
    <xf numFmtId="0" fontId="3" fillId="0" borderId="15" xfId="1" applyFont="1" applyBorder="1"/>
    <xf numFmtId="0" fontId="3" fillId="0" borderId="16" xfId="1" applyFont="1" applyBorder="1"/>
    <xf numFmtId="0" fontId="3" fillId="0" borderId="13" xfId="1" applyFont="1" applyBorder="1"/>
    <xf numFmtId="10" fontId="14" fillId="0" borderId="12" xfId="0" applyNumberFormat="1" applyFont="1" applyBorder="1" applyAlignment="1">
      <alignment horizontal="center"/>
    </xf>
    <xf numFmtId="10" fontId="14" fillId="0" borderId="13" xfId="0" applyNumberFormat="1" applyFont="1" applyBorder="1" applyAlignment="1">
      <alignment horizontal="center"/>
    </xf>
    <xf numFmtId="10" fontId="14" fillId="0" borderId="17" xfId="0" applyNumberFormat="1" applyFont="1" applyBorder="1" applyAlignment="1">
      <alignment horizontal="center"/>
    </xf>
    <xf numFmtId="10" fontId="14" fillId="0" borderId="18" xfId="0" applyNumberFormat="1" applyFont="1" applyBorder="1" applyAlignment="1">
      <alignment horizontal="center"/>
    </xf>
    <xf numFmtId="10" fontId="14" fillId="0" borderId="19" xfId="0" applyNumberFormat="1" applyFont="1" applyBorder="1" applyAlignment="1">
      <alignment horizontal="center"/>
    </xf>
    <xf numFmtId="10" fontId="12" fillId="0" borderId="20" xfId="2" applyNumberFormat="1" applyFont="1" applyBorder="1" applyAlignment="1">
      <alignment horizontal="center" vertical="center"/>
    </xf>
    <xf numFmtId="0" fontId="3" fillId="0" borderId="21" xfId="1" applyFont="1" applyBorder="1"/>
    <xf numFmtId="0" fontId="3" fillId="0" borderId="22" xfId="1" applyFont="1" applyBorder="1"/>
    <xf numFmtId="10" fontId="14" fillId="0" borderId="10" xfId="0" applyNumberFormat="1" applyFont="1" applyBorder="1" applyAlignment="1">
      <alignment horizontal="center"/>
    </xf>
    <xf numFmtId="10" fontId="14" fillId="0" borderId="11" xfId="0" applyNumberFormat="1" applyFont="1" applyBorder="1" applyAlignment="1">
      <alignment horizontal="center"/>
    </xf>
    <xf numFmtId="10" fontId="14" fillId="0" borderId="23" xfId="0" applyNumberFormat="1" applyFont="1" applyBorder="1" applyAlignment="1">
      <alignment horizontal="center"/>
    </xf>
    <xf numFmtId="10" fontId="14" fillId="0" borderId="24" xfId="0" applyNumberFormat="1" applyFont="1" applyBorder="1" applyAlignment="1">
      <alignment horizontal="center"/>
    </xf>
    <xf numFmtId="10" fontId="14" fillId="0" borderId="25" xfId="0" applyNumberFormat="1" applyFont="1" applyBorder="1" applyAlignment="1">
      <alignment horizontal="center"/>
    </xf>
    <xf numFmtId="10" fontId="0" fillId="0" borderId="0" xfId="8" applyNumberFormat="1" applyFont="1"/>
    <xf numFmtId="0" fontId="16" fillId="0" borderId="0" xfId="10"/>
    <xf numFmtId="10" fontId="7" fillId="0" borderId="0" xfId="8" applyNumberFormat="1" applyFont="1"/>
    <xf numFmtId="164" fontId="0" fillId="0" borderId="9" xfId="8" applyNumberFormat="1" applyFont="1" applyFill="1" applyBorder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2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11" borderId="29" xfId="0" applyFill="1" applyBorder="1" applyAlignment="1">
      <alignment horizontal="center"/>
    </xf>
    <xf numFmtId="10" fontId="0" fillId="0" borderId="32" xfId="8" applyNumberFormat="1" applyFont="1" applyBorder="1"/>
    <xf numFmtId="10" fontId="0" fillId="0" borderId="33" xfId="8" applyNumberFormat="1" applyFont="1" applyBorder="1"/>
    <xf numFmtId="10" fontId="0" fillId="0" borderId="34" xfId="8" applyNumberFormat="1" applyFont="1" applyBorder="1"/>
    <xf numFmtId="49" fontId="8" fillId="0" borderId="0" xfId="0" applyNumberFormat="1" applyFont="1" applyAlignment="1">
      <alignment horizontal="right"/>
    </xf>
    <xf numFmtId="0" fontId="8" fillId="0" borderId="0" xfId="1" applyFont="1"/>
    <xf numFmtId="0" fontId="8" fillId="0" borderId="0" xfId="0" applyFont="1" applyAlignment="1">
      <alignment wrapText="1"/>
    </xf>
    <xf numFmtId="0" fontId="7" fillId="0" borderId="0" xfId="8" applyNumberFormat="1" applyFont="1"/>
    <xf numFmtId="0" fontId="17" fillId="0" borderId="1" xfId="0" applyFont="1" applyBorder="1"/>
    <xf numFmtId="0" fontId="17" fillId="0" borderId="2" xfId="0" applyFont="1" applyBorder="1"/>
    <xf numFmtId="0" fontId="17" fillId="0" borderId="3" xfId="0" applyFont="1" applyBorder="1"/>
    <xf numFmtId="14" fontId="8" fillId="0" borderId="0" xfId="0" applyNumberFormat="1" applyFo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0" fontId="2" fillId="0" borderId="10" xfId="2" applyNumberFormat="1" applyFont="1" applyBorder="1" applyAlignment="1">
      <alignment horizontal="center" vertical="center"/>
    </xf>
    <xf numFmtId="14" fontId="0" fillId="0" borderId="0" xfId="0" applyNumberFormat="1"/>
    <xf numFmtId="0" fontId="19" fillId="0" borderId="0" xfId="0" applyFont="1"/>
    <xf numFmtId="0" fontId="20" fillId="0" borderId="0" xfId="0" applyFont="1" applyAlignment="1">
      <alignment horizontal="center" vertical="center" readingOrder="1"/>
    </xf>
    <xf numFmtId="0" fontId="20" fillId="0" borderId="0" xfId="0" applyFont="1" applyAlignment="1">
      <alignment horizontal="left" vertical="center" readingOrder="1"/>
    </xf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7" fillId="0" borderId="26" xfId="0" applyFont="1" applyBorder="1" applyAlignment="1">
      <alignment horizontal="center"/>
    </xf>
    <xf numFmtId="0" fontId="0" fillId="0" borderId="27" xfId="0" applyBorder="1"/>
    <xf numFmtId="0" fontId="0" fillId="0" borderId="7" xfId="0" applyBorder="1" applyAlignment="1">
      <alignment horizontal="center"/>
    </xf>
    <xf numFmtId="0" fontId="0" fillId="0" borderId="5" xfId="0" applyBorder="1"/>
  </cellXfs>
  <cellStyles count="12">
    <cellStyle name="Normal" xfId="0" builtinId="0"/>
    <cellStyle name="Normal 2" xfId="1" xr:uid="{00000000-0005-0000-0000-000001000000}"/>
    <cellStyle name="Normal 2 2" xfId="11" xr:uid="{FECB3410-4A59-4354-803B-5C2D524A3F8F}"/>
    <cellStyle name="Normal 3" xfId="3" xr:uid="{00000000-0005-0000-0000-000002000000}"/>
    <cellStyle name="Normal 4" xfId="4" xr:uid="{00000000-0005-0000-0000-000003000000}"/>
    <cellStyle name="Normal 5" xfId="5" xr:uid="{00000000-0005-0000-0000-000004000000}"/>
    <cellStyle name="Normal 6" xfId="6" xr:uid="{00000000-0005-0000-0000-000005000000}"/>
    <cellStyle name="Normal 7" xfId="7" xr:uid="{00000000-0005-0000-0000-000006000000}"/>
    <cellStyle name="Normal 8" xfId="9" xr:uid="{00000000-0005-0000-0000-000007000000}"/>
    <cellStyle name="Normal 9" xfId="10" xr:uid="{00000000-0005-0000-0000-000008000000}"/>
    <cellStyle name="Percent" xfId="8" builtinId="5"/>
    <cellStyle name="Percent 2" xfId="2" xr:uid="{00000000-0005-0000-0000-00000A000000}"/>
  </cellStyles>
  <dxfs count="27"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  <color theme="5"/>
      </font>
      <fill>
        <patternFill patternType="none">
          <bgColor auto="1"/>
        </patternFill>
      </fill>
    </dxf>
    <dxf>
      <font>
        <b/>
        <i val="0"/>
        <color theme="9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</dxfs>
  <tableStyles count="0" defaultTableStyle="Table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Graph of Methylation Percentages for ICR1 and ICR2</a:t>
            </a:r>
            <a:endParaRPr lang="en-US" sz="100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(Unmethylated values are 100 minus numbers plotted)</a:t>
            </a:r>
            <a:endParaRPr lang="en-US" sz="100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/>
              <a:t>Plate BWR_QS6_METHYL_XXXX_MMDDYY_XX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u="none" strike="noStrike" kern="1200" baseline="0">
                <a:solidFill>
                  <a:sysClr val="windowText" lastClr="000000"/>
                </a:solidFill>
              </a:rPr>
              <a:t>MM.DD.YYYY XX </a:t>
            </a:r>
          </a:p>
        </c:rich>
      </c:tx>
      <c:layout>
        <c:manualLayout>
          <c:xMode val="edge"/>
          <c:yMode val="edge"/>
          <c:x val="0.24675088768092834"/>
          <c:y val="3.8164913740447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903209032833183"/>
          <c:y val="0.20328730265500741"/>
          <c:w val="0.78339201703560635"/>
          <c:h val="0.64615201994223059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274-432B-BE34-F5DAFA7C408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274-432B-BE34-F5DAFA7C408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8274-432B-BE34-F5DAFA7C408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8274-432B-BE34-F5DAFA7C408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8274-432B-BE34-F5DAFA7C408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4-432B-BE34-F5DAFA7C4087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8274-432B-BE34-F5DAFA7C408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8274-432B-BE34-F5DAFA7C408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8274-432B-BE34-F5DAFA7C408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8274-432B-BE34-F5DAFA7C408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8274-432B-BE34-F5DAFA7C408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274-432B-BE34-F5DAFA7C4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96170368"/>
        <c:axId val="96172672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274-432B-BE34-F5DAFA7C4087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274-432B-BE34-F5DAFA7C4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170368"/>
        <c:axId val="96172672"/>
      </c:lineChart>
      <c:catAx>
        <c:axId val="96170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 sz="800"/>
            </a:pPr>
            <a:endParaRPr lang="en-US"/>
          </a:p>
        </c:txPr>
        <c:crossAx val="96172672"/>
        <c:crosses val="autoZero"/>
        <c:auto val="1"/>
        <c:lblAlgn val="ctr"/>
        <c:lblOffset val="100"/>
        <c:noMultiLvlLbl val="0"/>
      </c:catAx>
      <c:valAx>
        <c:axId val="9617267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6170368"/>
        <c:crosses val="autoZero"/>
        <c:crossBetween val="between"/>
        <c:minorUnit val="1.0000000000000041E-3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Copy Number</a:t>
            </a:r>
          </a:p>
          <a:p>
            <a:pPr>
              <a:defRPr sz="1200" baseline="0"/>
            </a:pPr>
            <a:r>
              <a:rPr lang="en-US" sz="1200" baseline="0"/>
              <a:t>Plate # : </a:t>
            </a:r>
            <a:r>
              <a:rPr lang="en-US" sz="1200" b="1" i="0" u="none" strike="noStrike" baseline="0"/>
              <a:t>BWR_CN_788/789_08_09_16_JK</a:t>
            </a:r>
            <a:endParaRPr lang="en-US" sz="1200" b="1" baseline="0"/>
          </a:p>
          <a:p>
            <a:pPr>
              <a:defRPr sz="1200" baseline="0"/>
            </a:pPr>
            <a:r>
              <a:rPr lang="en-US" sz="1200" baseline="0"/>
              <a:t>Date: 08.09.16</a:t>
            </a:r>
          </a:p>
        </c:rich>
      </c:tx>
      <c:layout>
        <c:manualLayout>
          <c:xMode val="edge"/>
          <c:yMode val="edge"/>
          <c:x val="0.34806878359348659"/>
          <c:y val="9.132399123870765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431437883866531"/>
          <c:y val="0.142133893152142"/>
          <c:w val="0.67400781451438041"/>
          <c:h val="0.7076747301335875"/>
        </c:manualLayout>
      </c:layout>
      <c:barChart>
        <c:barDir val="col"/>
        <c:grouping val="clustered"/>
        <c:varyColors val="0"/>
        <c:ser>
          <c:idx val="0"/>
          <c:order val="0"/>
          <c:tx>
            <c:v>ICR2.559</c:v>
          </c:tx>
          <c:invertIfNegative val="0"/>
          <c:errBars>
            <c:errBarType val="both"/>
            <c:errValType val="cust"/>
            <c:noEndCap val="0"/>
            <c:plus>
              <c:numRef>
                <c:f>'CN DATA'!$H$3:$H$5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DATA'!$G$3:$G$5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cat>
            <c:numRef>
              <c:f>'CN DATA'!$A$3:$A$5</c:f>
              <c:numCache>
                <c:formatCode>General</c:formatCode>
                <c:ptCount val="3"/>
              </c:numCache>
            </c:numRef>
          </c:cat>
          <c:val>
            <c:numRef>
              <c:f>'CN DATA'!$D$3:$D$5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7BCB-4434-A892-1DCFEDFA0821}"/>
            </c:ext>
          </c:extLst>
        </c:ser>
        <c:ser>
          <c:idx val="1"/>
          <c:order val="1"/>
          <c:tx>
            <c:v>KCNQ1.299</c:v>
          </c:tx>
          <c:spPr>
            <a:solidFill>
              <a:schemeClr val="accent2">
                <a:lumMod val="20000"/>
                <a:lumOff val="8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DATA'!$H$6:$H$8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DATA'!$G$6:$G$8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DATA'!$D$6:$D$8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7BCB-4434-A892-1DCFEDFA0821}"/>
            </c:ext>
          </c:extLst>
        </c:ser>
        <c:ser>
          <c:idx val="2"/>
          <c:order val="2"/>
          <c:tx>
            <c:v>IGF2.476</c:v>
          </c:tx>
          <c:spPr>
            <a:solidFill>
              <a:schemeClr val="bg2">
                <a:lumMod val="9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DATA'!$H$9:$H$11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DATA'!$G$9:$G$11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DATA'!$D$9:$D$11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7BCB-4434-A892-1DCFEDFA0821}"/>
            </c:ext>
          </c:extLst>
        </c:ser>
        <c:ser>
          <c:idx val="3"/>
          <c:order val="3"/>
          <c:tx>
            <c:v>ICR1.266</c:v>
          </c:tx>
          <c:invertIfNegative val="0"/>
          <c:errBars>
            <c:errBarType val="both"/>
            <c:errValType val="cust"/>
            <c:noEndCap val="0"/>
            <c:plus>
              <c:numRef>
                <c:f>'CN DATA'!$H$12:$H$14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DATA'!$G$12:$G$14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7BCB-4434-A892-1DCFEDFA0821}"/>
            </c:ext>
          </c:extLst>
        </c:ser>
        <c:ser>
          <c:idx val="4"/>
          <c:order val="4"/>
          <c:tx>
            <c:v>H19.914</c:v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'CN DATA'!$H$15:$H$17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'CN DATA'!$G$15:$G$17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</c:errBars>
          <c:val>
            <c:numRef>
              <c:f>'CN DATA'!$D$15:$D$17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7BCB-4434-A892-1DCFEDFA0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1"/>
        <c:overlap val="-10"/>
        <c:axId val="75649408"/>
        <c:axId val="75650944"/>
      </c:barChart>
      <c:lineChart>
        <c:grouping val="standard"/>
        <c:varyColors val="0"/>
        <c:ser>
          <c:idx val="5"/>
          <c:order val="5"/>
          <c:tx>
            <c:v>Duplication Limit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val>
            <c:numRef>
              <c:f>'CN DATA'!$I$3:$I$5</c:f>
              <c:numCache>
                <c:formatCode>General</c:formatCode>
                <c:ptCount val="3"/>
                <c:pt idx="0">
                  <c:v>1.33</c:v>
                </c:pt>
                <c:pt idx="1">
                  <c:v>1.33</c:v>
                </c:pt>
                <c:pt idx="2">
                  <c:v>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CB-4434-A892-1DCFEDFA0821}"/>
            </c:ext>
          </c:extLst>
        </c:ser>
        <c:ser>
          <c:idx val="6"/>
          <c:order val="6"/>
          <c:tx>
            <c:v>Deletion Limit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'CN DATA'!$J$3:$J$5</c:f>
              <c:numCache>
                <c:formatCode>General</c:formatCode>
                <c:ptCount val="3"/>
                <c:pt idx="0">
                  <c:v>0.67</c:v>
                </c:pt>
                <c:pt idx="1">
                  <c:v>0.67</c:v>
                </c:pt>
                <c:pt idx="2">
                  <c:v>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BCB-4434-A892-1DCFEDFA0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49408"/>
        <c:axId val="75650944"/>
      </c:lineChart>
      <c:catAx>
        <c:axId val="75649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650944"/>
        <c:crosses val="autoZero"/>
        <c:auto val="1"/>
        <c:lblAlgn val="ctr"/>
        <c:lblOffset val="100"/>
        <c:noMultiLvlLbl val="0"/>
      </c:catAx>
      <c:valAx>
        <c:axId val="7565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RQ Value (1= 2 copies)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6494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Graph of Methylation Percentages for ICR1 and ICR2</a:t>
            </a:r>
          </a:p>
          <a:p>
            <a:pPr>
              <a:defRPr/>
            </a:pPr>
            <a:r>
              <a:rPr lang="en-US"/>
              <a:t>(Unmethylated</a:t>
            </a:r>
            <a:r>
              <a:rPr lang="en-US" baseline="0"/>
              <a:t> values are 100 minus numbers plotted)</a:t>
            </a:r>
          </a:p>
          <a:p>
            <a:pPr>
              <a:defRPr/>
            </a:pPr>
            <a:r>
              <a:rPr lang="en-US" baseline="0"/>
              <a:t>Plate #: BWR_METHYL_770_05_21_18_JK</a:t>
            </a:r>
          </a:p>
          <a:p>
            <a:pPr>
              <a:defRPr/>
            </a:pPr>
            <a:r>
              <a:rPr lang="en-US" baseline="0"/>
              <a:t>05.21.18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186236971654204"/>
          <c:y val="0.22704806936943411"/>
          <c:w val="0.66389518793769864"/>
          <c:h val="0.63610163813029474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5A96-4749-9686-F7CAD8C4474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5A96-4749-9686-F7CAD8C4474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5A96-4749-9686-F7CAD8C4474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5A96-4749-9686-F7CAD8C4474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5A96-4749-9686-F7CAD8C4474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96-4749-9686-F7CAD8C4474A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5A96-4749-9686-F7CAD8C4474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5A96-4749-9686-F7CAD8C4474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5A96-4749-9686-F7CAD8C4474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5A96-4749-9686-F7CAD8C4474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5A96-4749-9686-F7CAD8C4474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96-4749-9686-F7CAD8C4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94792320"/>
        <c:axId val="95167232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A96-4749-9686-F7CAD8C4474A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A96-4749-9686-F7CAD8C4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92320"/>
        <c:axId val="95167232"/>
      </c:lineChart>
      <c:catAx>
        <c:axId val="9479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/>
            </a:pPr>
            <a:endParaRPr lang="en-US"/>
          </a:p>
        </c:txPr>
        <c:crossAx val="95167232"/>
        <c:crosses val="autoZero"/>
        <c:auto val="1"/>
        <c:lblAlgn val="ctr"/>
        <c:lblOffset val="100"/>
        <c:noMultiLvlLbl val="0"/>
      </c:catAx>
      <c:valAx>
        <c:axId val="95167232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4792320"/>
        <c:crosses val="autoZero"/>
        <c:crossBetween val="between"/>
        <c:minorUnit val="1.0000000000000041E-3"/>
      </c:valAx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"/>
  <sheetViews>
    <sheetView workbookViewId="0"/>
  </sheetViews>
  <customSheetViews>
    <customSheetView guid="{07198B33-CC73-4AA7-9DB4-40B4BEF2EAD4}" scale="121" zoomToFit="1">
      <pageMargins left="0.7" right="0.7" top="0.75" bottom="0.75" header="0.3" footer="0.3"/>
      <pageSetup orientation="landscape"/>
    </customSheetView>
  </customSheetViews>
  <pageMargins left="0.7" right="0.7" top="0.75" bottom="0.75" header="0.3" footer="0.3"/>
  <pageSetup orientation="landscape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tiff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630115</xdr:colOff>
      <xdr:row>0</xdr:row>
      <xdr:rowOff>116417</xdr:rowOff>
    </xdr:from>
    <xdr:to>
      <xdr:col>7</xdr:col>
      <xdr:colOff>520212</xdr:colOff>
      <xdr:row>2</xdr:row>
      <xdr:rowOff>135467</xdr:rowOff>
    </xdr:to>
    <xdr:sp macro="" textlink="">
      <xdr:nvSpPr>
        <xdr:cNvPr id="2" name="Text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30115" y="116417"/>
          <a:ext cx="4352193" cy="400050"/>
        </a:xfrm>
        <a:prstGeom prst="rect">
          <a:avLst/>
        </a:prstGeom>
        <a:noFill/>
      </xdr:spPr>
      <xdr:txBody>
        <a:bodyPr wrap="square" rtlCol="0" anchor="t" anchorCtr="1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>
              <a:effectLst/>
              <a:latin typeface="+mn-lt"/>
              <a:ea typeface="+mn-ea"/>
              <a:cs typeface="+mn-cs"/>
            </a:rPr>
            <a:t>Patient: BWR-XXXX Methylation Assay</a:t>
          </a:r>
          <a:endParaRPr lang="en-US" sz="1800">
            <a:effectLst/>
          </a:endParaRPr>
        </a:p>
        <a:p>
          <a:pPr algn="ctr"/>
          <a:r>
            <a:rPr lang="en-US" sz="1800"/>
            <a:t> </a:t>
          </a:r>
        </a:p>
      </xdr:txBody>
    </xdr:sp>
    <xdr:clientData/>
  </xdr:twoCellAnchor>
  <xdr:twoCellAnchor editAs="oneCell">
    <xdr:from>
      <xdr:col>1</xdr:col>
      <xdr:colOff>552450</xdr:colOff>
      <xdr:row>10</xdr:row>
      <xdr:rowOff>18639</xdr:rowOff>
    </xdr:from>
    <xdr:to>
      <xdr:col>7</xdr:col>
      <xdr:colOff>58663</xdr:colOff>
      <xdr:row>17</xdr:row>
      <xdr:rowOff>33323</xdr:rowOff>
    </xdr:to>
    <xdr:pic>
      <xdr:nvPicPr>
        <xdr:cNvPr id="5" name="Picture 4" descr="BWR normal pic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9675" y="1923639"/>
          <a:ext cx="3449563" cy="134818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</xdr:col>
      <xdr:colOff>338524</xdr:colOff>
      <xdr:row>40</xdr:row>
      <xdr:rowOff>1949</xdr:rowOff>
    </xdr:from>
    <xdr:to>
      <xdr:col>6</xdr:col>
      <xdr:colOff>191929</xdr:colOff>
      <xdr:row>42</xdr:row>
      <xdr:rowOff>34072</xdr:rowOff>
    </xdr:to>
    <xdr:pic>
      <xdr:nvPicPr>
        <xdr:cNvPr id="9" name="Picture 8" descr="BWR switched 02.21.12.tiff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1373" t="60064" r="6727" b="24704"/>
        <a:stretch>
          <a:fillRect/>
        </a:stretch>
      </xdr:blipFill>
      <xdr:spPr>
        <a:xfrm>
          <a:off x="2963191" y="7621949"/>
          <a:ext cx="1165738" cy="413123"/>
        </a:xfrm>
        <a:prstGeom prst="rect">
          <a:avLst/>
        </a:prstGeom>
      </xdr:spPr>
    </xdr:pic>
    <xdr:clientData/>
  </xdr:twoCellAnchor>
  <xdr:twoCellAnchor editAs="oneCell">
    <xdr:from>
      <xdr:col>6</xdr:col>
      <xdr:colOff>173563</xdr:colOff>
      <xdr:row>39</xdr:row>
      <xdr:rowOff>183603</xdr:rowOff>
    </xdr:from>
    <xdr:to>
      <xdr:col>8</xdr:col>
      <xdr:colOff>4768</xdr:colOff>
      <xdr:row>41</xdr:row>
      <xdr:rowOff>155667</xdr:rowOff>
    </xdr:to>
    <xdr:pic>
      <xdr:nvPicPr>
        <xdr:cNvPr id="11" name="Picture 10" descr="BWR switched 02.21.12.tiff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0042" t="83132" r="6061" b="3851"/>
        <a:stretch>
          <a:fillRect/>
        </a:stretch>
      </xdr:blipFill>
      <xdr:spPr>
        <a:xfrm>
          <a:off x="4110563" y="7613103"/>
          <a:ext cx="1143538" cy="353064"/>
        </a:xfrm>
        <a:prstGeom prst="rect">
          <a:avLst/>
        </a:prstGeom>
      </xdr:spPr>
    </xdr:pic>
    <xdr:clientData/>
  </xdr:twoCellAnchor>
  <xdr:absoluteAnchor>
    <xdr:pos x="640774" y="3342410"/>
    <xdr:ext cx="4547242" cy="4004542"/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1</xdr:col>
      <xdr:colOff>571500</xdr:colOff>
      <xdr:row>10</xdr:row>
      <xdr:rowOff>28575</xdr:rowOff>
    </xdr:from>
    <xdr:to>
      <xdr:col>7</xdr:col>
      <xdr:colOff>104775</xdr:colOff>
      <xdr:row>17</xdr:row>
      <xdr:rowOff>62236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08942" y="1933575"/>
          <a:ext cx="3357929" cy="1367161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561975</xdr:colOff>
      <xdr:row>3</xdr:row>
      <xdr:rowOff>162662</xdr:rowOff>
    </xdr:from>
    <xdr:to>
      <xdr:col>8</xdr:col>
      <xdr:colOff>97596</xdr:colOff>
      <xdr:row>9</xdr:row>
      <xdr:rowOff>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61975" y="734162"/>
          <a:ext cx="4635159" cy="980338"/>
          <a:chOff x="3600450" y="381737"/>
          <a:chExt cx="4793421" cy="1383624"/>
        </a:xfrm>
      </xdr:grpSpPr>
      <xdr:sp macro="" textlink="">
        <xdr:nvSpPr>
          <xdr:cNvPr id="3" name="TextBox 1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658929" y="381737"/>
            <a:ext cx="1302613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/>
              <a:t>Summary:</a:t>
            </a:r>
          </a:p>
        </xdr:txBody>
      </xdr:sp>
      <xdr:sp macro="" textlink="">
        <xdr:nvSpPr>
          <xdr:cNvPr id="4" name="TextBox 17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645831" y="417249"/>
            <a:ext cx="3702980" cy="128772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kern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DNA was isolated</a:t>
            </a:r>
            <a:r>
              <a:rPr lang="en-US" sz="1400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using a full isolation protocol</a:t>
            </a:r>
            <a:r>
              <a:rPr lang="en-US" sz="1400" kern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.</a:t>
            </a:r>
            <a:endParaRPr lang="en-US" sz="1050">
              <a:effectLst/>
            </a:endParaRPr>
          </a:p>
          <a:p>
            <a:r>
              <a:rPr lang="en-US" sz="1400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Normal methylation at ICR2 &amp; ICR1. </a:t>
            </a:r>
            <a:endParaRPr lang="en-US" sz="1050">
              <a:effectLst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3600450" y="398200"/>
            <a:ext cx="4793421" cy="1367161"/>
          </a:xfrm>
          <a:prstGeom prst="rect">
            <a:avLst/>
          </a:prstGeom>
          <a:noFill/>
          <a:ln w="1397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6</xdr:col>
      <xdr:colOff>178650</xdr:colOff>
      <xdr:row>41</xdr:row>
      <xdr:rowOff>41891</xdr:rowOff>
    </xdr:from>
    <xdr:to>
      <xdr:col>8</xdr:col>
      <xdr:colOff>9855</xdr:colOff>
      <xdr:row>42</xdr:row>
      <xdr:rowOff>116970</xdr:rowOff>
    </xdr:to>
    <xdr:pic>
      <xdr:nvPicPr>
        <xdr:cNvPr id="10" name="Picture 9" descr="BWR switched 02.21.12.tiff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0042" t="75296" r="6061" b="14912"/>
        <a:stretch>
          <a:fillRect/>
        </a:stretch>
      </xdr:blipFill>
      <xdr:spPr>
        <a:xfrm>
          <a:off x="4115650" y="7852391"/>
          <a:ext cx="1143538" cy="265579"/>
        </a:xfrm>
        <a:prstGeom prst="rect">
          <a:avLst/>
        </a:prstGeom>
      </xdr:spPr>
    </xdr:pic>
    <xdr:clientData/>
  </xdr:twoCellAnchor>
  <xdr:twoCellAnchor>
    <xdr:from>
      <xdr:col>1</xdr:col>
      <xdr:colOff>58214</xdr:colOff>
      <xdr:row>17</xdr:row>
      <xdr:rowOff>161926</xdr:rowOff>
    </xdr:from>
    <xdr:to>
      <xdr:col>7</xdr:col>
      <xdr:colOff>609605</xdr:colOff>
      <xdr:row>43</xdr:row>
      <xdr:rowOff>47626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14381" y="3400426"/>
          <a:ext cx="4488391" cy="4838700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</xdr:col>
      <xdr:colOff>443724</xdr:colOff>
      <xdr:row>39</xdr:row>
      <xdr:rowOff>150166</xdr:rowOff>
    </xdr:from>
    <xdr:to>
      <xdr:col>4</xdr:col>
      <xdr:colOff>375818</xdr:colOff>
      <xdr:row>42</xdr:row>
      <xdr:rowOff>159008</xdr:rowOff>
    </xdr:to>
    <xdr:pic>
      <xdr:nvPicPr>
        <xdr:cNvPr id="8" name="Picture 7" descr="BWR switched 02.21.12.tif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16713" t="38304" r="6061" b="40299"/>
        <a:stretch>
          <a:fillRect/>
        </a:stretch>
      </xdr:blipFill>
      <xdr:spPr>
        <a:xfrm>
          <a:off x="1756057" y="7579666"/>
          <a:ext cx="1244428" cy="580342"/>
        </a:xfrm>
        <a:prstGeom prst="rect">
          <a:avLst/>
        </a:prstGeom>
      </xdr:spPr>
    </xdr:pic>
    <xdr:clientData/>
  </xdr:twoCellAnchor>
  <xdr:twoCellAnchor editAs="oneCell">
    <xdr:from>
      <xdr:col>1</xdr:col>
      <xdr:colOff>92079</xdr:colOff>
      <xdr:row>38</xdr:row>
      <xdr:rowOff>169332</xdr:rowOff>
    </xdr:from>
    <xdr:to>
      <xdr:col>2</xdr:col>
      <xdr:colOff>500014</xdr:colOff>
      <xdr:row>43</xdr:row>
      <xdr:rowOff>21418</xdr:rowOff>
    </xdr:to>
    <xdr:pic>
      <xdr:nvPicPr>
        <xdr:cNvPr id="7" name="Picture 6" descr="BWR switched 02.21.12.tiff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16966" r="6517" b="62842"/>
        <a:stretch>
          <a:fillRect/>
        </a:stretch>
      </xdr:blipFill>
      <xdr:spPr>
        <a:xfrm>
          <a:off x="748246" y="7408332"/>
          <a:ext cx="1064101" cy="80458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0.14999</cdr:y>
    </cdr:from>
    <cdr:to>
      <cdr:x>0.08893</cdr:x>
      <cdr:y>0.89124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0" y="568595"/>
          <a:ext cx="359153" cy="2810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000">
              <a:latin typeface="Arial Black" pitchFamily="34" charset="0"/>
            </a:rPr>
            <a:t> Degree</a:t>
          </a:r>
          <a:r>
            <a:rPr lang="en-US" sz="1000" baseline="0">
              <a:latin typeface="Arial Black" pitchFamily="34" charset="0"/>
            </a:rPr>
            <a:t> of </a:t>
          </a:r>
          <a:r>
            <a:rPr lang="en-US" sz="1000">
              <a:latin typeface="Arial Black" pitchFamily="34" charset="0"/>
            </a:rPr>
            <a:t>Methylation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123826</xdr:rowOff>
    </xdr:from>
    <xdr:to>
      <xdr:col>13</xdr:col>
      <xdr:colOff>247650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0.01452</cdr:x>
      <cdr:y>0.1525</cdr:y>
    </cdr:from>
    <cdr:to>
      <cdr:x>0.10345</cdr:x>
      <cdr:y>0.89375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25951" y="960372"/>
          <a:ext cx="771446" cy="4668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latin typeface="Arial Black" pitchFamily="34" charset="0"/>
            </a:rPr>
            <a:t> Degree</a:t>
          </a:r>
          <a:r>
            <a:rPr lang="en-US" sz="1600" baseline="0">
              <a:latin typeface="Arial Black" pitchFamily="34" charset="0"/>
            </a:rPr>
            <a:t> of </a:t>
          </a:r>
          <a:r>
            <a:rPr lang="en-US" sz="1600">
              <a:latin typeface="Arial Black" pitchFamily="34" charset="0"/>
            </a:rPr>
            <a:t>Methylation</a:t>
          </a:r>
        </a:p>
      </cdr:txBody>
    </cdr:sp>
  </cdr:relSizeAnchor>
  <cdr:relSizeAnchor xmlns:cdr="http://schemas.openxmlformats.org/drawingml/2006/chartDrawing">
    <cdr:from>
      <cdr:x>0.81137</cdr:x>
      <cdr:y>0.24941</cdr:y>
    </cdr:from>
    <cdr:to>
      <cdr:x>0.95814</cdr:x>
      <cdr:y>0.66403</cdr:y>
    </cdr:to>
    <cdr:pic>
      <cdr:nvPicPr>
        <cdr:cNvPr id="30" name="Picture 29" descr="BWR switched 02.21.12.tiff">
          <a:extLst xmlns:a="http://schemas.openxmlformats.org/drawingml/2006/main">
            <a:ext uri="{FF2B5EF4-FFF2-40B4-BE49-F238E27FC236}">
              <a16:creationId xmlns:a16="http://schemas.microsoft.com/office/drawing/2014/main" id="{B7AB4E98-D2E3-4747-84DF-0BBCA9AE645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r="4779"/>
        <a:stretch xmlns:a="http://schemas.openxmlformats.org/drawingml/2006/main">
          <a:fillRect/>
        </a:stretch>
      </cdr:blipFill>
      <cdr:spPr>
        <a:xfrm xmlns:a="http://schemas.openxmlformats.org/drawingml/2006/main">
          <a:off x="7019339" y="1472498"/>
          <a:ext cx="1269772" cy="24478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ckwith worksheet template with lotnumbers_1" connectionId="1" xr16:uid="{00000000-0016-0000-0000-000000000000}" autoFormatId="16" applyNumberFormats="0" applyBorderFormats="0" applyFontFormats="0" applyPatternFormats="0" applyAlignmentFormats="0" applyWidthHeightFormats="0">
  <queryTableRefresh nextId="8">
    <queryTableFields count="5">
      <queryTableField id="1" name="Reagent" tableColumnId="1"/>
      <queryTableField id="2" name="ICR1" tableColumnId="2"/>
      <queryTableField id="4" name="ICR2" tableColumnId="4"/>
      <queryTableField id="6" name="ICR1 Expiration Date" tableColumnId="6"/>
      <queryTableField id="7" name="ICR2 Expiration Da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Beckwith_worksheet_template_with_lotnumbers2" displayName="Table_Beckwith_worksheet_template_with_lotnumbers2" ref="C22:G31" tableType="queryTable" totalsRowShown="0" headerRowDxfId="26" dataDxfId="25">
  <autoFilter ref="C22:G31" xr:uid="{00000000-0009-0000-0100-000001000000}"/>
  <tableColumns count="5">
    <tableColumn id="1" xr3:uid="{00000000-0010-0000-0000-000001000000}" uniqueName="1" name="Reagent" queryTableFieldId="1" dataDxfId="24"/>
    <tableColumn id="2" xr3:uid="{00000000-0010-0000-0000-000002000000}" uniqueName="2" name="ICR1 LOT#" queryTableFieldId="2" dataDxfId="23"/>
    <tableColumn id="4" xr3:uid="{00000000-0010-0000-0000-000004000000}" uniqueName="4" name="ICR2 LOT#" queryTableFieldId="4" dataDxfId="22"/>
    <tableColumn id="6" xr3:uid="{00000000-0010-0000-0000-000006000000}" uniqueName="6" name="ICR1 Expiration Date" queryTableFieldId="6" dataDxfId="21"/>
    <tableColumn id="7" xr3:uid="{00000000-0010-0000-0000-000007000000}" uniqueName="7" name="ICR2 Expiration Date" queryTableFieldId="7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M31"/>
  <sheetViews>
    <sheetView tabSelected="1" workbookViewId="0">
      <selection activeCell="D32" sqref="D32"/>
    </sheetView>
  </sheetViews>
  <sheetFormatPr defaultColWidth="8.85546875" defaultRowHeight="15" x14ac:dyDescent="0.2"/>
  <cols>
    <col min="1" max="1" width="23.42578125" style="3" bestFit="1" customWidth="1"/>
    <col min="2" max="2" width="16" style="3" bestFit="1" customWidth="1"/>
    <col min="3" max="3" width="19.85546875" style="3" customWidth="1"/>
    <col min="4" max="4" width="18.42578125" style="3" bestFit="1" customWidth="1"/>
    <col min="5" max="5" width="20.42578125" style="3" bestFit="1" customWidth="1"/>
    <col min="6" max="7" width="26.42578125" style="3" customWidth="1"/>
    <col min="8" max="8" width="16.85546875" style="3" bestFit="1" customWidth="1"/>
    <col min="9" max="9" width="21.85546875" style="3" customWidth="1"/>
    <col min="10" max="10" width="16.85546875" style="3" bestFit="1" customWidth="1"/>
    <col min="11" max="11" width="8" style="3" bestFit="1" customWidth="1"/>
    <col min="12" max="12" width="8.85546875" style="3"/>
    <col min="13" max="13" width="27.85546875" style="3" customWidth="1"/>
    <col min="14" max="16384" width="8.85546875" style="3"/>
  </cols>
  <sheetData>
    <row r="1" spans="1:13" ht="16.5" thickBot="1" x14ac:dyDescent="0.3">
      <c r="A1" s="1" t="s">
        <v>8</v>
      </c>
      <c r="B1" s="4" t="str">
        <f>'StepOne Data'!A1</f>
        <v>BWR_QS6_METHYL_XXXX_MMDDYY_XX</v>
      </c>
      <c r="C1" s="4"/>
      <c r="D1" s="4"/>
    </row>
    <row r="2" spans="1:13" ht="16.5" thickBot="1" x14ac:dyDescent="0.25">
      <c r="A2" s="2"/>
      <c r="B2" s="49" t="s">
        <v>7</v>
      </c>
      <c r="C2" s="50"/>
      <c r="D2" s="51"/>
      <c r="G2" s="58" t="s">
        <v>0</v>
      </c>
      <c r="H2" s="59"/>
      <c r="I2" s="60"/>
    </row>
    <row r="3" spans="1:13" ht="15.75" x14ac:dyDescent="0.2">
      <c r="A3" s="2"/>
      <c r="B3" s="88" t="s">
        <v>6</v>
      </c>
      <c r="C3" s="6" t="s">
        <v>5</v>
      </c>
      <c r="D3" s="52"/>
      <c r="E3" s="3" t="s">
        <v>12</v>
      </c>
      <c r="G3" s="5" t="s">
        <v>5</v>
      </c>
      <c r="H3" s="6" t="s">
        <v>6</v>
      </c>
      <c r="I3" s="44"/>
    </row>
    <row r="4" spans="1:13" ht="15.75" x14ac:dyDescent="0.2">
      <c r="A4" s="3" t="s">
        <v>9</v>
      </c>
      <c r="B4" s="46" t="s">
        <v>2</v>
      </c>
      <c r="C4" s="6" t="s">
        <v>3</v>
      </c>
      <c r="D4" s="47" t="s">
        <v>4</v>
      </c>
      <c r="E4" s="7" t="s">
        <v>13</v>
      </c>
      <c r="F4" s="7" t="s">
        <v>14</v>
      </c>
      <c r="G4" s="88" t="s">
        <v>2</v>
      </c>
      <c r="H4" s="6" t="s">
        <v>3</v>
      </c>
      <c r="I4" s="45" t="s">
        <v>4</v>
      </c>
    </row>
    <row r="5" spans="1:13" ht="15.75" hidden="1" x14ac:dyDescent="0.2">
      <c r="B5" s="46">
        <v>0</v>
      </c>
      <c r="C5" s="6"/>
      <c r="D5" s="47"/>
      <c r="E5" s="30">
        <f>$D$16</f>
        <v>0.5</v>
      </c>
      <c r="F5" s="30">
        <f>$D$17</f>
        <v>0.5</v>
      </c>
      <c r="G5" s="43">
        <v>0</v>
      </c>
      <c r="H5" s="5"/>
      <c r="I5" s="45"/>
    </row>
    <row r="6" spans="1:13" ht="15.75" x14ac:dyDescent="0.25">
      <c r="A6" s="41" t="s">
        <v>15</v>
      </c>
      <c r="B6" s="53">
        <f>'Summarized Data'!B6</f>
        <v>0.5</v>
      </c>
      <c r="C6" s="48">
        <f>'Summarized Data'!C6</f>
        <v>0.5</v>
      </c>
      <c r="D6" s="54">
        <f>'Summarized Data'!D6</f>
        <v>0</v>
      </c>
      <c r="E6" s="48">
        <f>'Summarized Data'!E6</f>
        <v>0.5</v>
      </c>
      <c r="F6" s="48">
        <f>'Summarized Data'!F6</f>
        <v>0.5</v>
      </c>
      <c r="G6" s="61">
        <f>'Summarized Data'!G6</f>
        <v>0.5</v>
      </c>
      <c r="H6" s="48">
        <f>'Summarized Data'!H6</f>
        <v>0.5</v>
      </c>
      <c r="I6" s="62">
        <f>'Summarized Data'!I6</f>
        <v>0</v>
      </c>
    </row>
    <row r="7" spans="1:13" ht="15.75" x14ac:dyDescent="0.25">
      <c r="A7" s="42" t="s">
        <v>31</v>
      </c>
      <c r="B7" s="53">
        <f>'Summarized Data'!B7</f>
        <v>0.5</v>
      </c>
      <c r="C7" s="48">
        <f>'Summarized Data'!C7</f>
        <v>0.5</v>
      </c>
      <c r="D7" s="54">
        <f>'Summarized Data'!D7</f>
        <v>0</v>
      </c>
      <c r="E7" s="48">
        <f>'Summarized Data'!E7</f>
        <v>0.5</v>
      </c>
      <c r="F7" s="48">
        <f>'Summarized Data'!F7</f>
        <v>0.5</v>
      </c>
      <c r="G7" s="61">
        <f>'Summarized Data'!G7</f>
        <v>0.5</v>
      </c>
      <c r="H7" s="48">
        <f>'Summarized Data'!H7</f>
        <v>0.5</v>
      </c>
      <c r="I7" s="62">
        <f>'Summarized Data'!I7</f>
        <v>0</v>
      </c>
      <c r="L7"/>
      <c r="M7"/>
    </row>
    <row r="8" spans="1:13" ht="15.75" x14ac:dyDescent="0.25">
      <c r="A8" s="42" t="s">
        <v>32</v>
      </c>
      <c r="B8" s="53">
        <f>'Summarized Data'!B8</f>
        <v>0.5</v>
      </c>
      <c r="C8" s="48">
        <f>'Summarized Data'!C8</f>
        <v>0.5</v>
      </c>
      <c r="D8" s="54">
        <f>'Summarized Data'!D8</f>
        <v>0</v>
      </c>
      <c r="E8" s="48">
        <f>'Summarized Data'!E8</f>
        <v>0.5</v>
      </c>
      <c r="F8" s="48">
        <f>'Summarized Data'!F8</f>
        <v>0.5</v>
      </c>
      <c r="G8" s="61">
        <f>'Summarized Data'!G8</f>
        <v>0.5</v>
      </c>
      <c r="H8" s="48">
        <f>'Summarized Data'!H8</f>
        <v>0.5</v>
      </c>
      <c r="I8" s="62">
        <f>'Summarized Data'!I8</f>
        <v>0</v>
      </c>
      <c r="L8"/>
    </row>
    <row r="9" spans="1:13" ht="15.75" x14ac:dyDescent="0.25">
      <c r="A9" s="42" t="s">
        <v>33</v>
      </c>
      <c r="B9" s="53">
        <f>'Summarized Data'!B9</f>
        <v>0.5</v>
      </c>
      <c r="C9" s="48">
        <f>'Summarized Data'!C9</f>
        <v>0.5</v>
      </c>
      <c r="D9" s="54">
        <f>'Summarized Data'!D9</f>
        <v>0</v>
      </c>
      <c r="E9" s="48">
        <f>'Summarized Data'!E9</f>
        <v>0.5</v>
      </c>
      <c r="F9" s="48">
        <f>'Summarized Data'!F9</f>
        <v>0.5</v>
      </c>
      <c r="G9" s="61">
        <f>'Summarized Data'!G9</f>
        <v>0.5</v>
      </c>
      <c r="H9" s="48">
        <f>'Summarized Data'!H9</f>
        <v>0.5</v>
      </c>
      <c r="I9" s="62">
        <f>'Summarized Data'!I9</f>
        <v>0</v>
      </c>
    </row>
    <row r="10" spans="1:13" ht="16.5" thickBot="1" x14ac:dyDescent="0.3">
      <c r="A10" s="42" t="str">
        <f>'StepOne Data'!$A$6</f>
        <v>BWR-XXXX</v>
      </c>
      <c r="B10" s="55">
        <f>'Summarized Data'!B10</f>
        <v>0.5</v>
      </c>
      <c r="C10" s="56">
        <f>'Summarized Data'!C10</f>
        <v>0.5</v>
      </c>
      <c r="D10" s="57">
        <f>'Summarized Data'!D10</f>
        <v>0</v>
      </c>
      <c r="E10" s="48">
        <f>'Summarized Data'!E10</f>
        <v>0.5</v>
      </c>
      <c r="F10" s="48">
        <f>'Summarized Data'!F10</f>
        <v>0.5</v>
      </c>
      <c r="G10" s="63">
        <f>'Summarized Data'!G10</f>
        <v>0.5</v>
      </c>
      <c r="H10" s="64">
        <f>'Summarized Data'!H10</f>
        <v>0.5</v>
      </c>
      <c r="I10" s="65">
        <f>'Summarized Data'!I10</f>
        <v>0</v>
      </c>
    </row>
    <row r="11" spans="1:13" ht="15.75" hidden="1" x14ac:dyDescent="0.25">
      <c r="A11" s="4"/>
      <c r="B11" s="4">
        <v>0</v>
      </c>
      <c r="C11" s="4"/>
      <c r="D11" s="4"/>
      <c r="E11" s="30"/>
      <c r="F11" s="30"/>
      <c r="G11" s="30"/>
      <c r="H11" s="30">
        <f t="shared" ref="H11" si="0">$D$17</f>
        <v>0.5</v>
      </c>
      <c r="I11" s="3">
        <v>0</v>
      </c>
      <c r="L11"/>
    </row>
    <row r="12" spans="1:13" ht="15.75" x14ac:dyDescent="0.25">
      <c r="A12" s="4"/>
      <c r="E12"/>
      <c r="F12"/>
      <c r="G12"/>
      <c r="L12"/>
    </row>
    <row r="13" spans="1:13" ht="15.75" x14ac:dyDescent="0.25">
      <c r="A13" s="4"/>
      <c r="E13"/>
      <c r="F13"/>
      <c r="G13"/>
      <c r="H13"/>
      <c r="L13"/>
    </row>
    <row r="14" spans="1:13" ht="15.75" x14ac:dyDescent="0.25">
      <c r="A14"/>
      <c r="C14" s="38" t="s">
        <v>59</v>
      </c>
      <c r="D14" s="69">
        <f>'Summarized Data'!D14</f>
        <v>0.5</v>
      </c>
      <c r="E14"/>
      <c r="F14"/>
      <c r="G14"/>
      <c r="H14"/>
      <c r="L14"/>
    </row>
    <row r="15" spans="1:13" ht="15.75" x14ac:dyDescent="0.25">
      <c r="A15"/>
      <c r="C15" s="38" t="s">
        <v>60</v>
      </c>
      <c r="D15" s="69">
        <f>'Summarized Data'!D15</f>
        <v>0</v>
      </c>
      <c r="E15"/>
      <c r="F15"/>
      <c r="G15"/>
      <c r="H15"/>
      <c r="L15"/>
    </row>
    <row r="16" spans="1:13" ht="15.75" x14ac:dyDescent="0.25">
      <c r="A16"/>
      <c r="C16" s="38" t="s">
        <v>63</v>
      </c>
      <c r="D16" s="69">
        <f>'Summarized Data'!D16</f>
        <v>0.5</v>
      </c>
      <c r="E16"/>
      <c r="F16"/>
      <c r="G16"/>
      <c r="H16"/>
      <c r="L16"/>
    </row>
    <row r="17" spans="1:10" ht="15.75" x14ac:dyDescent="0.25">
      <c r="A17"/>
      <c r="B17"/>
      <c r="C17" s="38" t="s">
        <v>64</v>
      </c>
      <c r="D17" s="69">
        <f>'Summarized Data'!D17</f>
        <v>0.5</v>
      </c>
      <c r="E17"/>
      <c r="F17"/>
      <c r="G17"/>
      <c r="H17"/>
      <c r="J17" s="8"/>
    </row>
    <row r="18" spans="1:10" ht="15.75" x14ac:dyDescent="0.25">
      <c r="A18"/>
      <c r="B18"/>
      <c r="C18"/>
      <c r="D18"/>
      <c r="E18"/>
      <c r="F18"/>
      <c r="G18"/>
      <c r="H18"/>
      <c r="J18" s="8"/>
    </row>
    <row r="19" spans="1:10" ht="15.75" x14ac:dyDescent="0.25">
      <c r="A19"/>
      <c r="B19"/>
      <c r="C19"/>
      <c r="D19"/>
      <c r="E19"/>
      <c r="F19"/>
      <c r="G19"/>
      <c r="H19"/>
      <c r="J19" s="8"/>
    </row>
    <row r="20" spans="1:10" ht="15.75" x14ac:dyDescent="0.25">
      <c r="A20"/>
      <c r="B20"/>
      <c r="C20"/>
      <c r="D20"/>
      <c r="E20"/>
      <c r="F20"/>
      <c r="G20"/>
      <c r="H20"/>
      <c r="J20" s="8"/>
    </row>
    <row r="21" spans="1:10" ht="15.75" x14ac:dyDescent="0.25">
      <c r="A21"/>
      <c r="B21"/>
      <c r="C21"/>
      <c r="D21"/>
      <c r="E21"/>
      <c r="F21"/>
      <c r="G21"/>
      <c r="H21"/>
      <c r="J21" s="8"/>
    </row>
    <row r="22" spans="1:10" ht="15.75" x14ac:dyDescent="0.25">
      <c r="A22"/>
      <c r="B22"/>
      <c r="C22" s="79" t="s">
        <v>84</v>
      </c>
      <c r="D22" s="79" t="s">
        <v>89</v>
      </c>
      <c r="E22" s="3" t="s">
        <v>90</v>
      </c>
      <c r="F22" s="80" t="s">
        <v>85</v>
      </c>
      <c r="G22" s="80" t="s">
        <v>86</v>
      </c>
    </row>
    <row r="23" spans="1:10" ht="15.75" x14ac:dyDescent="0.25">
      <c r="A23"/>
      <c r="B23"/>
      <c r="C23" s="4" t="s">
        <v>78</v>
      </c>
      <c r="D23" s="4" t="s">
        <v>96</v>
      </c>
      <c r="E23" s="4" t="s">
        <v>97</v>
      </c>
      <c r="F23" s="85">
        <v>49391</v>
      </c>
      <c r="G23" s="85">
        <v>49391</v>
      </c>
    </row>
    <row r="24" spans="1:10" ht="15.75" x14ac:dyDescent="0.25">
      <c r="A24"/>
      <c r="B24"/>
      <c r="C24" s="4" t="s">
        <v>79</v>
      </c>
      <c r="D24" s="4" t="s">
        <v>98</v>
      </c>
      <c r="E24" s="4" t="s">
        <v>99</v>
      </c>
      <c r="F24" s="85">
        <v>49391</v>
      </c>
      <c r="G24" s="85">
        <v>49391</v>
      </c>
    </row>
    <row r="25" spans="1:10" ht="15.75" x14ac:dyDescent="0.25">
      <c r="A25"/>
      <c r="B25"/>
      <c r="C25" s="4" t="s">
        <v>80</v>
      </c>
      <c r="D25" s="4" t="s">
        <v>93</v>
      </c>
      <c r="E25" s="4" t="s">
        <v>95</v>
      </c>
      <c r="F25" s="85">
        <v>46439</v>
      </c>
      <c r="G25" s="85">
        <v>46376</v>
      </c>
    </row>
    <row r="26" spans="1:10" ht="15.75" x14ac:dyDescent="0.25">
      <c r="A26"/>
      <c r="B26"/>
      <c r="C26" s="4" t="s">
        <v>81</v>
      </c>
      <c r="D26" s="4" t="s">
        <v>94</v>
      </c>
      <c r="E26" s="4">
        <v>8254607</v>
      </c>
      <c r="F26" s="85">
        <v>46439</v>
      </c>
      <c r="G26" s="85">
        <v>46376</v>
      </c>
    </row>
    <row r="27" spans="1:10" ht="15.75" x14ac:dyDescent="0.25">
      <c r="A27"/>
      <c r="B27"/>
      <c r="C27" s="4"/>
      <c r="D27" s="4"/>
    </row>
    <row r="28" spans="1:10" ht="15.75" x14ac:dyDescent="0.25">
      <c r="A28"/>
      <c r="B28"/>
    </row>
    <row r="29" spans="1:10" ht="15.75" x14ac:dyDescent="0.25">
      <c r="A29"/>
      <c r="B29"/>
      <c r="C29" s="82" t="s">
        <v>84</v>
      </c>
      <c r="D29" s="83" t="s">
        <v>91</v>
      </c>
      <c r="E29" s="83" t="s">
        <v>92</v>
      </c>
      <c r="F29" s="83"/>
      <c r="G29" s="84"/>
    </row>
    <row r="30" spans="1:10" ht="15.75" x14ac:dyDescent="0.25">
      <c r="A30"/>
      <c r="B30"/>
      <c r="C30" s="3" t="s">
        <v>82</v>
      </c>
      <c r="D30" s="3">
        <v>3163650</v>
      </c>
      <c r="E30" s="85">
        <v>46387</v>
      </c>
      <c r="F30" s="78"/>
    </row>
    <row r="31" spans="1:10" ht="15.75" x14ac:dyDescent="0.25">
      <c r="A31"/>
      <c r="B31"/>
      <c r="C31" s="3" t="s">
        <v>83</v>
      </c>
      <c r="D31" s="3">
        <v>361290</v>
      </c>
      <c r="E31" s="85">
        <v>46428</v>
      </c>
    </row>
  </sheetData>
  <pageMargins left="0.7" right="0.7" top="0.75" bottom="0.75" header="0.3" footer="0.3"/>
  <pageSetup scale="5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3:I15"/>
  <sheetViews>
    <sheetView showGridLines="0" showRowColHeaders="0" showRuler="0" view="pageLayout" topLeftCell="A15" zoomScale="130" zoomScaleNormal="100" zoomScalePageLayoutView="130" workbookViewId="0">
      <selection activeCell="I20" sqref="I20"/>
    </sheetView>
  </sheetViews>
  <sheetFormatPr defaultColWidth="8.85546875" defaultRowHeight="15" x14ac:dyDescent="0.25"/>
  <sheetData>
    <row r="3" spans="1:9" x14ac:dyDescent="0.25">
      <c r="A3" s="96"/>
    </row>
    <row r="13" spans="1:9" x14ac:dyDescent="0.25">
      <c r="F13" t="s">
        <v>100</v>
      </c>
    </row>
    <row r="15" spans="1:9" x14ac:dyDescent="0.25">
      <c r="I15" t="s">
        <v>77</v>
      </c>
    </row>
  </sheetData>
  <customSheetViews>
    <customSheetView guid="{07198B33-CC73-4AA7-9DB4-40B4BEF2EAD4}" scale="102" showPageBreaks="1" view="pageLayout">
      <selection sqref="A1:M34"/>
      <pageMargins left="0.7" right="0.7" top="0.75" bottom="0.75" header="0.3" footer="0.3"/>
      <pageSetup orientation="landscape" r:id="rId1"/>
    </customSheetView>
  </customSheetViews>
  <pageMargins left="0.7" right="0.7" top="0.75" bottom="0.75" header="0.3" footer="0.3"/>
  <pageSetup orientation="portrait" r:id="rId2"/>
  <headerFooter>
    <oddFooter>&amp;CTemplate Rev 11.01.16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K45"/>
  <sheetViews>
    <sheetView zoomScale="90" zoomScaleNormal="90" workbookViewId="0">
      <selection activeCell="E27" sqref="E27"/>
    </sheetView>
  </sheetViews>
  <sheetFormatPr defaultColWidth="8.85546875" defaultRowHeight="15" x14ac:dyDescent="0.2"/>
  <cols>
    <col min="1" max="1" width="23.42578125" style="3" bestFit="1" customWidth="1"/>
    <col min="2" max="3" width="16.85546875" style="3" bestFit="1" customWidth="1"/>
    <col min="4" max="4" width="7.7109375" style="3" bestFit="1" customWidth="1"/>
    <col min="5" max="5" width="20.42578125" style="3" bestFit="1" customWidth="1"/>
    <col min="6" max="6" width="9" style="3" bestFit="1" customWidth="1"/>
    <col min="7" max="7" width="16" style="3" bestFit="1" customWidth="1"/>
    <col min="8" max="8" width="16.85546875" style="3" bestFit="1" customWidth="1"/>
    <col min="9" max="9" width="8.42578125" style="3" customWidth="1"/>
    <col min="10" max="10" width="8.85546875" style="3"/>
    <col min="11" max="11" width="27.85546875" style="3" customWidth="1"/>
    <col min="12" max="16384" width="8.85546875" style="3"/>
  </cols>
  <sheetData>
    <row r="1" spans="1:11" ht="15.75" x14ac:dyDescent="0.25">
      <c r="A1" s="1" t="s">
        <v>8</v>
      </c>
      <c r="B1" s="4"/>
      <c r="C1" s="4"/>
      <c r="D1" s="4"/>
    </row>
    <row r="2" spans="1:11" ht="15.75" x14ac:dyDescent="0.2">
      <c r="A2" s="2"/>
      <c r="B2" s="18" t="s">
        <v>7</v>
      </c>
      <c r="C2" s="4"/>
      <c r="D2" s="4"/>
      <c r="G2" s="19" t="s">
        <v>0</v>
      </c>
      <c r="H2" s="4"/>
      <c r="I2" s="4"/>
    </row>
    <row r="3" spans="1:11" ht="15.75" x14ac:dyDescent="0.2">
      <c r="A3" s="2"/>
      <c r="B3" s="5" t="s">
        <v>5</v>
      </c>
      <c r="C3" s="6" t="s">
        <v>6</v>
      </c>
      <c r="D3" s="4"/>
      <c r="E3" s="3" t="s">
        <v>12</v>
      </c>
      <c r="G3" s="6" t="s">
        <v>6</v>
      </c>
      <c r="H3" s="5" t="s">
        <v>5</v>
      </c>
    </row>
    <row r="4" spans="1:11" ht="15.75" x14ac:dyDescent="0.2">
      <c r="A4" s="3" t="s">
        <v>9</v>
      </c>
      <c r="B4" s="5" t="s">
        <v>2</v>
      </c>
      <c r="C4" s="6" t="s">
        <v>3</v>
      </c>
      <c r="D4" s="6" t="s">
        <v>4</v>
      </c>
      <c r="E4" s="3" t="s">
        <v>13</v>
      </c>
      <c r="F4" s="3" t="s">
        <v>14</v>
      </c>
      <c r="G4" s="6" t="s">
        <v>2</v>
      </c>
      <c r="H4" s="5" t="s">
        <v>3</v>
      </c>
      <c r="I4" s="6" t="s">
        <v>4</v>
      </c>
    </row>
    <row r="5" spans="1:11" ht="15.75" x14ac:dyDescent="0.2">
      <c r="B5" s="5">
        <v>0</v>
      </c>
      <c r="C5" s="6"/>
      <c r="D5" s="6"/>
      <c r="E5" s="30">
        <f>$D$16</f>
        <v>0.5</v>
      </c>
      <c r="F5" s="30">
        <f>$D$17</f>
        <v>0.5</v>
      </c>
      <c r="G5" s="6">
        <v>0</v>
      </c>
      <c r="H5" s="5"/>
      <c r="I5" s="6"/>
    </row>
    <row r="6" spans="1:11" ht="15.75" x14ac:dyDescent="0.25">
      <c r="A6" s="34" t="s">
        <v>15</v>
      </c>
      <c r="B6" s="40">
        <v>0.5</v>
      </c>
      <c r="C6" s="35">
        <v>0.5</v>
      </c>
      <c r="D6" s="35">
        <v>0</v>
      </c>
      <c r="E6" s="36">
        <f t="shared" ref="E6:E11" si="0">$D$16</f>
        <v>0.5</v>
      </c>
      <c r="F6" s="36">
        <f t="shared" ref="F6:F11" si="1">$D$17</f>
        <v>0.5</v>
      </c>
      <c r="G6" s="35">
        <v>0.5</v>
      </c>
      <c r="H6" s="40">
        <v>0.5</v>
      </c>
      <c r="I6" s="35">
        <v>0</v>
      </c>
    </row>
    <row r="7" spans="1:11" ht="15.75" x14ac:dyDescent="0.25">
      <c r="A7" s="37" t="s">
        <v>31</v>
      </c>
      <c r="B7" s="40">
        <v>0.5</v>
      </c>
      <c r="C7" s="35">
        <v>0.5</v>
      </c>
      <c r="D7" s="35">
        <v>0</v>
      </c>
      <c r="E7" s="36">
        <f t="shared" si="0"/>
        <v>0.5</v>
      </c>
      <c r="F7" s="36">
        <f t="shared" si="1"/>
        <v>0.5</v>
      </c>
      <c r="G7" s="35">
        <v>0.5</v>
      </c>
      <c r="H7" s="40">
        <v>0.5</v>
      </c>
      <c r="I7" s="35">
        <v>0</v>
      </c>
      <c r="J7"/>
      <c r="K7"/>
    </row>
    <row r="8" spans="1:11" ht="15.75" x14ac:dyDescent="0.25">
      <c r="A8" s="37" t="s">
        <v>32</v>
      </c>
      <c r="B8" s="40">
        <v>0.5</v>
      </c>
      <c r="C8" s="35">
        <v>0.5</v>
      </c>
      <c r="D8" s="35">
        <v>0</v>
      </c>
      <c r="E8" s="36">
        <f t="shared" si="0"/>
        <v>0.5</v>
      </c>
      <c r="F8" s="36">
        <f t="shared" si="1"/>
        <v>0.5</v>
      </c>
      <c r="G8" s="35">
        <v>0.5</v>
      </c>
      <c r="H8" s="40">
        <v>0.5</v>
      </c>
      <c r="I8" s="35">
        <v>0</v>
      </c>
      <c r="J8"/>
    </row>
    <row r="9" spans="1:11" ht="15.75" x14ac:dyDescent="0.25">
      <c r="A9" s="37" t="s">
        <v>33</v>
      </c>
      <c r="B9" s="40">
        <v>0.5</v>
      </c>
      <c r="C9" s="35">
        <v>0.5</v>
      </c>
      <c r="D9" s="35">
        <v>0</v>
      </c>
      <c r="E9" s="36">
        <f t="shared" si="0"/>
        <v>0.5</v>
      </c>
      <c r="F9" s="36">
        <f t="shared" si="1"/>
        <v>0.5</v>
      </c>
      <c r="G9" s="35">
        <v>0.5</v>
      </c>
      <c r="H9" s="40">
        <v>0.5</v>
      </c>
      <c r="I9" s="35">
        <v>0</v>
      </c>
    </row>
    <row r="10" spans="1:11" ht="15.75" x14ac:dyDescent="0.25">
      <c r="A10" s="37" t="str">
        <f>'StepOne Data'!$A$6</f>
        <v>BWR-XXXX</v>
      </c>
      <c r="B10" s="40">
        <v>0.5</v>
      </c>
      <c r="C10" s="35">
        <v>0.5</v>
      </c>
      <c r="D10" s="35">
        <v>0</v>
      </c>
      <c r="E10" s="36">
        <f t="shared" si="0"/>
        <v>0.5</v>
      </c>
      <c r="F10" s="36">
        <f t="shared" si="1"/>
        <v>0.5</v>
      </c>
      <c r="G10" s="35">
        <v>0.5</v>
      </c>
      <c r="H10" s="40">
        <v>0.5</v>
      </c>
      <c r="I10" s="35">
        <v>0</v>
      </c>
    </row>
    <row r="11" spans="1:11" ht="15.75" x14ac:dyDescent="0.25">
      <c r="A11" s="4"/>
      <c r="B11" s="4">
        <v>0</v>
      </c>
      <c r="C11" s="4"/>
      <c r="D11" s="4"/>
      <c r="E11" s="30">
        <f t="shared" si="0"/>
        <v>0.5</v>
      </c>
      <c r="F11" s="30">
        <f t="shared" si="1"/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38" t="s">
        <v>59</v>
      </c>
      <c r="D14" s="39">
        <f>'RAW DATA'!$U$20</f>
        <v>0.5</v>
      </c>
      <c r="E14"/>
      <c r="F14"/>
      <c r="J14"/>
    </row>
    <row r="15" spans="1:11" ht="15.75" x14ac:dyDescent="0.25">
      <c r="A15"/>
      <c r="C15" s="38" t="s">
        <v>60</v>
      </c>
      <c r="D15" s="39">
        <f>'RAW DATA'!$U$21</f>
        <v>0</v>
      </c>
      <c r="E15"/>
      <c r="F15"/>
      <c r="J15"/>
    </row>
    <row r="16" spans="1:11" ht="15.75" x14ac:dyDescent="0.25">
      <c r="A16"/>
      <c r="C16" s="38" t="s">
        <v>63</v>
      </c>
      <c r="D16" s="39">
        <f>D14-(2*D15)</f>
        <v>0.5</v>
      </c>
      <c r="E16"/>
      <c r="F16"/>
      <c r="J16"/>
    </row>
    <row r="17" spans="1:8" ht="15.75" x14ac:dyDescent="0.25">
      <c r="A17"/>
      <c r="B17"/>
      <c r="C17" s="38" t="s">
        <v>64</v>
      </c>
      <c r="D17" s="39">
        <f>D14+(2*D15)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 t="str">
        <f>'StepOne Data'!A1</f>
        <v>BWR_QS6_METHYL_XXXX_MMDDYY_XX</v>
      </c>
      <c r="B19"/>
      <c r="C19"/>
      <c r="D19"/>
      <c r="E19"/>
      <c r="F19"/>
      <c r="H19" s="8"/>
    </row>
    <row r="20" spans="1:8" ht="15.75" x14ac:dyDescent="0.25">
      <c r="A20"/>
      <c r="B20"/>
      <c r="C20"/>
      <c r="D20"/>
      <c r="E20"/>
      <c r="F20"/>
      <c r="H20" s="8"/>
    </row>
    <row r="21" spans="1:8" ht="15.75" x14ac:dyDescent="0.25">
      <c r="A21"/>
      <c r="B21"/>
      <c r="C21"/>
      <c r="D21"/>
      <c r="E21"/>
    </row>
    <row r="22" spans="1:8" ht="15.75" x14ac:dyDescent="0.25">
      <c r="A22" s="4"/>
      <c r="B22"/>
      <c r="C22" s="12"/>
      <c r="D22" s="12"/>
      <c r="E22" s="12"/>
    </row>
    <row r="23" spans="1:8" ht="15.75" x14ac:dyDescent="0.25">
      <c r="A23" s="4"/>
      <c r="B23"/>
      <c r="C23" s="12"/>
      <c r="D23" s="12"/>
      <c r="E23" s="12"/>
    </row>
    <row r="24" spans="1:8" x14ac:dyDescent="0.2">
      <c r="A24" s="4"/>
      <c r="C24" s="12"/>
      <c r="D24" s="12"/>
      <c r="E24" s="12"/>
    </row>
    <row r="25" spans="1:8" ht="15.75" x14ac:dyDescent="0.25">
      <c r="A25" s="4"/>
      <c r="B25"/>
      <c r="C25" s="12"/>
      <c r="D25" s="12"/>
      <c r="E25" s="12"/>
    </row>
    <row r="26" spans="1:8" ht="15.75" x14ac:dyDescent="0.25">
      <c r="A26" s="4"/>
      <c r="B26"/>
      <c r="C26" s="12"/>
      <c r="D26" s="12"/>
      <c r="E26" s="12"/>
    </row>
    <row r="27" spans="1:8" ht="15.75" x14ac:dyDescent="0.25">
      <c r="A27" s="4"/>
      <c r="B27"/>
      <c r="C27" s="12"/>
      <c r="D27" s="12"/>
      <c r="E27" s="12"/>
    </row>
    <row r="28" spans="1:8" x14ac:dyDescent="0.2">
      <c r="A28" s="4"/>
      <c r="C28" s="12"/>
      <c r="D28" s="12"/>
      <c r="E28" s="12"/>
    </row>
    <row r="29" spans="1:8" ht="15.75" x14ac:dyDescent="0.25">
      <c r="A29" s="4"/>
      <c r="B29"/>
      <c r="C29" s="12"/>
      <c r="D29" s="12"/>
      <c r="E29" s="12"/>
    </row>
    <row r="30" spans="1:8" ht="15.75" x14ac:dyDescent="0.25">
      <c r="A30" s="4"/>
      <c r="B30"/>
      <c r="C30" s="12"/>
      <c r="D30" s="12"/>
      <c r="E30" s="12"/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5" ht="15.75" x14ac:dyDescent="0.25">
      <c r="A33"/>
      <c r="B33"/>
      <c r="C33" s="12"/>
      <c r="D33" s="12"/>
      <c r="E33" s="12"/>
    </row>
    <row r="34" spans="1:5" ht="15.75" x14ac:dyDescent="0.25">
      <c r="A34"/>
      <c r="B34"/>
      <c r="C34" s="12"/>
      <c r="D34" s="12"/>
      <c r="E34" s="12"/>
    </row>
    <row r="35" spans="1:5" ht="15.75" x14ac:dyDescent="0.25">
      <c r="A35"/>
      <c r="B35"/>
      <c r="C35" s="12"/>
      <c r="D35" s="12"/>
      <c r="E35" s="12"/>
    </row>
    <row r="36" spans="1:5" ht="15.75" x14ac:dyDescent="0.25">
      <c r="A36"/>
      <c r="B36"/>
      <c r="C36" s="4"/>
      <c r="D36" s="4"/>
    </row>
    <row r="37" spans="1:5" ht="15.75" x14ac:dyDescent="0.25">
      <c r="A37"/>
      <c r="B37"/>
      <c r="C37" s="4"/>
      <c r="D37" s="4"/>
    </row>
    <row r="38" spans="1:5" ht="15.75" x14ac:dyDescent="0.25">
      <c r="A38"/>
      <c r="B38"/>
      <c r="C38" s="4"/>
      <c r="D38" s="4"/>
    </row>
    <row r="39" spans="1:5" ht="15.75" x14ac:dyDescent="0.25">
      <c r="A39"/>
      <c r="B39"/>
      <c r="C39" s="4"/>
      <c r="D39" s="4"/>
    </row>
    <row r="40" spans="1:5" ht="15.75" x14ac:dyDescent="0.25">
      <c r="A40"/>
      <c r="B40"/>
      <c r="C40" s="4"/>
      <c r="D40" s="4"/>
    </row>
    <row r="41" spans="1:5" ht="15.75" x14ac:dyDescent="0.25">
      <c r="A41"/>
      <c r="B41"/>
      <c r="C41" s="4"/>
      <c r="D41" s="4"/>
    </row>
    <row r="42" spans="1:5" ht="15.75" x14ac:dyDescent="0.25">
      <c r="A42"/>
      <c r="B42"/>
      <c r="C42" s="4"/>
      <c r="D42" s="4"/>
    </row>
    <row r="43" spans="1:5" ht="15.75" x14ac:dyDescent="0.25">
      <c r="A43"/>
      <c r="B43"/>
    </row>
    <row r="44" spans="1:5" ht="15.75" x14ac:dyDescent="0.25">
      <c r="A44"/>
      <c r="B44"/>
    </row>
    <row r="45" spans="1:5" ht="15.75" x14ac:dyDescent="0.25">
      <c r="A45"/>
      <c r="B45"/>
    </row>
  </sheetData>
  <sortState xmlns:xlrd2="http://schemas.microsoft.com/office/spreadsheetml/2017/richdata2" ref="A10:J25">
    <sortCondition ref="A10:A25"/>
  </sortState>
  <customSheetViews>
    <customSheetView guid="{07198B33-CC73-4AA7-9DB4-40B4BEF2EAD4}">
      <selection activeCell="G5" sqref="G5:I5"/>
      <pageMargins left="0.7" right="0.7" top="0.75" bottom="0.75" header="0.3" footer="0.3"/>
    </customSheetView>
  </customSheetViews>
  <phoneticPr fontId="9" type="noConversion"/>
  <conditionalFormatting sqref="D6:D10 I6:I10">
    <cfRule type="cellIs" dxfId="19" priority="2" operator="between">
      <formula>0.025</formula>
      <formula>0.03</formula>
    </cfRule>
  </conditionalFormatting>
  <conditionalFormatting sqref="D6:D10 I6:I10">
    <cfRule type="cellIs" dxfId="18" priority="1" operator="greaterThan">
      <formula>0.03</formula>
    </cfRule>
  </conditionalFormatting>
  <pageMargins left="0.7" right="0.7" top="0.75" bottom="0.75" header="0.3" footer="0.3"/>
  <pageSetup scale="85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M39"/>
  <sheetViews>
    <sheetView zoomScaleNormal="100" workbookViewId="0">
      <selection activeCell="D27" sqref="D27"/>
    </sheetView>
  </sheetViews>
  <sheetFormatPr defaultColWidth="8.85546875" defaultRowHeight="15" x14ac:dyDescent="0.25"/>
  <cols>
    <col min="1" max="1" width="16.7109375" customWidth="1"/>
    <col min="2" max="2" width="12.28515625" bestFit="1" customWidth="1"/>
    <col min="3" max="3" width="12" bestFit="1" customWidth="1"/>
    <col min="8" max="8" width="16.42578125" bestFit="1" customWidth="1"/>
    <col min="9" max="9" width="13.7109375" bestFit="1" customWidth="1"/>
    <col min="10" max="10" width="12" bestFit="1" customWidth="1"/>
    <col min="11" max="11" width="9.7109375" bestFit="1" customWidth="1"/>
  </cols>
  <sheetData>
    <row r="1" spans="1:13" x14ac:dyDescent="0.25">
      <c r="A1" s="92" t="s">
        <v>101</v>
      </c>
    </row>
    <row r="2" spans="1:13" x14ac:dyDescent="0.25">
      <c r="A2" s="91"/>
      <c r="E2" s="26" t="s">
        <v>69</v>
      </c>
      <c r="F2" s="26"/>
      <c r="G2" s="26"/>
      <c r="H2" s="26"/>
    </row>
    <row r="4" spans="1:13" x14ac:dyDescent="0.25">
      <c r="B4" s="25" t="s">
        <v>57</v>
      </c>
      <c r="I4" s="24" t="s">
        <v>58</v>
      </c>
    </row>
    <row r="6" spans="1:13" x14ac:dyDescent="0.25">
      <c r="A6" s="90" t="s">
        <v>102</v>
      </c>
      <c r="B6" t="s">
        <v>57</v>
      </c>
      <c r="H6" t="str">
        <f>A6</f>
        <v>BWR-XXXX</v>
      </c>
      <c r="I6" t="s">
        <v>58</v>
      </c>
    </row>
    <row r="7" spans="1:13" ht="14.25" customHeight="1" x14ac:dyDescent="0.25">
      <c r="A7" t="str">
        <f>$A$6</f>
        <v>BWR-XXXX</v>
      </c>
      <c r="B7" t="s">
        <v>57</v>
      </c>
      <c r="H7" t="str">
        <f>A7</f>
        <v>BWR-XXXX</v>
      </c>
      <c r="I7" t="s">
        <v>58</v>
      </c>
    </row>
    <row r="8" spans="1:13" x14ac:dyDescent="0.25">
      <c r="A8" t="str">
        <f>$A$6</f>
        <v>BWR-XXXX</v>
      </c>
      <c r="B8" t="s">
        <v>57</v>
      </c>
      <c r="H8" t="str">
        <f>$A$6</f>
        <v>BWR-XXXX</v>
      </c>
      <c r="I8" t="s">
        <v>58</v>
      </c>
    </row>
    <row r="9" spans="1:13" x14ac:dyDescent="0.25">
      <c r="A9" t="s">
        <v>105</v>
      </c>
      <c r="B9" t="s">
        <v>57</v>
      </c>
      <c r="H9" t="s">
        <v>105</v>
      </c>
      <c r="I9" t="s">
        <v>58</v>
      </c>
    </row>
    <row r="10" spans="1:13" x14ac:dyDescent="0.25">
      <c r="A10" t="s">
        <v>105</v>
      </c>
      <c r="B10" t="s">
        <v>57</v>
      </c>
      <c r="H10" t="s">
        <v>105</v>
      </c>
      <c r="I10" t="s">
        <v>58</v>
      </c>
      <c r="M10" s="86"/>
    </row>
    <row r="11" spans="1:13" ht="14.25" customHeight="1" x14ac:dyDescent="0.25">
      <c r="A11" t="s">
        <v>105</v>
      </c>
      <c r="B11" t="s">
        <v>57</v>
      </c>
      <c r="H11" t="s">
        <v>105</v>
      </c>
      <c r="I11" t="s">
        <v>58</v>
      </c>
    </row>
    <row r="12" spans="1:13" x14ac:dyDescent="0.25">
      <c r="A12" s="90" t="s">
        <v>104</v>
      </c>
      <c r="B12" t="s">
        <v>57</v>
      </c>
      <c r="H12" t="str">
        <f>A12</f>
        <v>Control X</v>
      </c>
      <c r="I12" t="s">
        <v>58</v>
      </c>
    </row>
    <row r="13" spans="1:13" x14ac:dyDescent="0.25">
      <c r="A13" s="90" t="s">
        <v>104</v>
      </c>
      <c r="B13" t="s">
        <v>57</v>
      </c>
      <c r="H13" t="str">
        <f t="shared" ref="H13:H20" si="0">A13</f>
        <v>Control X</v>
      </c>
      <c r="I13" t="s">
        <v>58</v>
      </c>
    </row>
    <row r="14" spans="1:13" x14ac:dyDescent="0.25">
      <c r="A14" s="90" t="s">
        <v>104</v>
      </c>
      <c r="B14" t="s">
        <v>57</v>
      </c>
      <c r="H14" t="str">
        <f t="shared" si="0"/>
        <v>Control X</v>
      </c>
      <c r="I14" t="s">
        <v>58</v>
      </c>
    </row>
    <row r="15" spans="1:13" x14ac:dyDescent="0.25">
      <c r="A15" s="90" t="s">
        <v>104</v>
      </c>
      <c r="B15" t="s">
        <v>57</v>
      </c>
      <c r="G15" s="89"/>
      <c r="H15" t="str">
        <f t="shared" si="0"/>
        <v>Control X</v>
      </c>
      <c r="I15" t="s">
        <v>58</v>
      </c>
    </row>
    <row r="16" spans="1:13" ht="16.5" customHeight="1" x14ac:dyDescent="0.25">
      <c r="A16" s="90" t="s">
        <v>104</v>
      </c>
      <c r="B16" t="s">
        <v>57</v>
      </c>
      <c r="H16" t="str">
        <f t="shared" si="0"/>
        <v>Control X</v>
      </c>
      <c r="I16" t="s">
        <v>58</v>
      </c>
    </row>
    <row r="17" spans="1:11" x14ac:dyDescent="0.25">
      <c r="A17" s="90" t="s">
        <v>104</v>
      </c>
      <c r="B17" t="s">
        <v>57</v>
      </c>
      <c r="H17" t="str">
        <f t="shared" si="0"/>
        <v>Control X</v>
      </c>
      <c r="I17" t="s">
        <v>58</v>
      </c>
    </row>
    <row r="18" spans="1:11" x14ac:dyDescent="0.25">
      <c r="A18" s="90" t="s">
        <v>104</v>
      </c>
      <c r="B18" t="s">
        <v>57</v>
      </c>
      <c r="H18" t="str">
        <f t="shared" si="0"/>
        <v>Control X</v>
      </c>
      <c r="I18" t="s">
        <v>58</v>
      </c>
    </row>
    <row r="19" spans="1:11" x14ac:dyDescent="0.25">
      <c r="A19" s="90" t="s">
        <v>104</v>
      </c>
      <c r="B19" t="s">
        <v>57</v>
      </c>
      <c r="H19" t="str">
        <f t="shared" si="0"/>
        <v>Control X</v>
      </c>
      <c r="I19" t="s">
        <v>58</v>
      </c>
    </row>
    <row r="20" spans="1:11" x14ac:dyDescent="0.25">
      <c r="A20" s="90" t="s">
        <v>104</v>
      </c>
      <c r="B20" t="s">
        <v>57</v>
      </c>
      <c r="H20" t="str">
        <f t="shared" si="0"/>
        <v>Control X</v>
      </c>
      <c r="I20" t="s">
        <v>58</v>
      </c>
    </row>
    <row r="21" spans="1:11" x14ac:dyDescent="0.25">
      <c r="A21" s="90"/>
      <c r="C21" s="94"/>
      <c r="F21" s="86"/>
    </row>
    <row r="22" spans="1:11" x14ac:dyDescent="0.25">
      <c r="A22" s="95"/>
      <c r="E22" s="86"/>
    </row>
    <row r="23" spans="1:11" x14ac:dyDescent="0.25">
      <c r="A23" s="95"/>
      <c r="B23" s="23" t="s">
        <v>30</v>
      </c>
      <c r="I23" s="22" t="s">
        <v>29</v>
      </c>
    </row>
    <row r="24" spans="1:11" x14ac:dyDescent="0.25">
      <c r="A24" t="str">
        <f>$A$6</f>
        <v>BWR-XXXX</v>
      </c>
      <c r="B24" t="s">
        <v>30</v>
      </c>
      <c r="H24" t="str">
        <f>$A$6</f>
        <v>BWR-XXXX</v>
      </c>
      <c r="I24" t="s">
        <v>29</v>
      </c>
    </row>
    <row r="25" spans="1:11" x14ac:dyDescent="0.25">
      <c r="A25" t="str">
        <f>$A$6</f>
        <v>BWR-XXXX</v>
      </c>
      <c r="B25" t="s">
        <v>30</v>
      </c>
      <c r="H25" t="str">
        <f>$A$6</f>
        <v>BWR-XXXX</v>
      </c>
      <c r="I25" t="s">
        <v>29</v>
      </c>
    </row>
    <row r="26" spans="1:11" x14ac:dyDescent="0.25">
      <c r="A26" t="str">
        <f>$A$6</f>
        <v>BWR-XXXX</v>
      </c>
      <c r="B26" t="s">
        <v>30</v>
      </c>
      <c r="H26" t="str">
        <f>$A$6</f>
        <v>BWR-XXXX</v>
      </c>
      <c r="I26" t="s">
        <v>29</v>
      </c>
    </row>
    <row r="27" spans="1:11" x14ac:dyDescent="0.25">
      <c r="A27" t="s">
        <v>105</v>
      </c>
      <c r="B27" t="s">
        <v>30</v>
      </c>
      <c r="H27" t="s">
        <v>105</v>
      </c>
      <c r="I27" t="s">
        <v>29</v>
      </c>
      <c r="K27" s="87"/>
    </row>
    <row r="28" spans="1:11" x14ac:dyDescent="0.25">
      <c r="A28" t="s">
        <v>105</v>
      </c>
      <c r="B28" t="s">
        <v>30</v>
      </c>
      <c r="H28" t="s">
        <v>105</v>
      </c>
      <c r="I28" t="s">
        <v>29</v>
      </c>
    </row>
    <row r="29" spans="1:11" x14ac:dyDescent="0.25">
      <c r="A29" t="s">
        <v>105</v>
      </c>
      <c r="B29" t="s">
        <v>30</v>
      </c>
      <c r="H29" t="s">
        <v>105</v>
      </c>
      <c r="I29" t="s">
        <v>29</v>
      </c>
    </row>
    <row r="30" spans="1:11" x14ac:dyDescent="0.25">
      <c r="A30" s="90" t="s">
        <v>104</v>
      </c>
      <c r="B30" t="s">
        <v>30</v>
      </c>
      <c r="H30" t="str">
        <f>A30</f>
        <v>Control X</v>
      </c>
      <c r="I30" t="s">
        <v>29</v>
      </c>
    </row>
    <row r="31" spans="1:11" x14ac:dyDescent="0.25">
      <c r="A31" s="90" t="s">
        <v>104</v>
      </c>
      <c r="B31" t="s">
        <v>30</v>
      </c>
      <c r="H31" t="str">
        <f t="shared" ref="H31:H38" si="1">A31</f>
        <v>Control X</v>
      </c>
      <c r="I31" t="s">
        <v>29</v>
      </c>
    </row>
    <row r="32" spans="1:11" x14ac:dyDescent="0.25">
      <c r="A32" s="90" t="s">
        <v>104</v>
      </c>
      <c r="B32" t="s">
        <v>30</v>
      </c>
      <c r="H32" t="str">
        <f t="shared" si="1"/>
        <v>Control X</v>
      </c>
      <c r="I32" t="s">
        <v>29</v>
      </c>
    </row>
    <row r="33" spans="1:9" x14ac:dyDescent="0.25">
      <c r="A33" s="90" t="s">
        <v>104</v>
      </c>
      <c r="B33" t="s">
        <v>30</v>
      </c>
      <c r="H33" t="str">
        <f t="shared" si="1"/>
        <v>Control X</v>
      </c>
      <c r="I33" t="s">
        <v>29</v>
      </c>
    </row>
    <row r="34" spans="1:9" x14ac:dyDescent="0.25">
      <c r="A34" s="90" t="s">
        <v>104</v>
      </c>
      <c r="B34" t="s">
        <v>30</v>
      </c>
      <c r="H34" t="str">
        <f t="shared" si="1"/>
        <v>Control X</v>
      </c>
      <c r="I34" t="s">
        <v>29</v>
      </c>
    </row>
    <row r="35" spans="1:9" x14ac:dyDescent="0.25">
      <c r="A35" s="90" t="s">
        <v>104</v>
      </c>
      <c r="B35" t="s">
        <v>30</v>
      </c>
      <c r="H35" t="str">
        <f t="shared" si="1"/>
        <v>Control X</v>
      </c>
      <c r="I35" t="s">
        <v>29</v>
      </c>
    </row>
    <row r="36" spans="1:9" x14ac:dyDescent="0.25">
      <c r="A36" s="90" t="s">
        <v>104</v>
      </c>
      <c r="B36" t="s">
        <v>30</v>
      </c>
      <c r="H36" t="str">
        <f t="shared" si="1"/>
        <v>Control X</v>
      </c>
      <c r="I36" t="s">
        <v>29</v>
      </c>
    </row>
    <row r="37" spans="1:9" x14ac:dyDescent="0.25">
      <c r="A37" s="90" t="s">
        <v>104</v>
      </c>
      <c r="B37" t="s">
        <v>30</v>
      </c>
      <c r="H37" t="str">
        <f t="shared" si="1"/>
        <v>Control X</v>
      </c>
      <c r="I37" t="s">
        <v>29</v>
      </c>
    </row>
    <row r="38" spans="1:9" x14ac:dyDescent="0.25">
      <c r="A38" s="90" t="s">
        <v>104</v>
      </c>
      <c r="B38" t="s">
        <v>30</v>
      </c>
      <c r="F38" s="86"/>
      <c r="H38" t="str">
        <f t="shared" si="1"/>
        <v>Control X</v>
      </c>
      <c r="I38" t="s">
        <v>29</v>
      </c>
    </row>
    <row r="39" spans="1:9" x14ac:dyDescent="0.25">
      <c r="A39" s="93"/>
      <c r="C39" s="9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40"/>
  <sheetViews>
    <sheetView zoomScale="90" zoomScaleNormal="90" workbookViewId="0">
      <selection activeCell="F42" sqref="F42"/>
    </sheetView>
  </sheetViews>
  <sheetFormatPr defaultColWidth="8.85546875" defaultRowHeight="15" x14ac:dyDescent="0.25"/>
  <cols>
    <col min="2" max="2" width="20" bestFit="1" customWidth="1"/>
    <col min="3" max="3" width="12" bestFit="1" customWidth="1"/>
    <col min="4" max="4" width="12.140625" bestFit="1" customWidth="1"/>
    <col min="5" max="6" width="9" bestFit="1" customWidth="1"/>
    <col min="7" max="8" width="10.28515625" bestFit="1" customWidth="1"/>
    <col min="9" max="9" width="9.28515625" bestFit="1" customWidth="1"/>
    <col min="10" max="13" width="9" bestFit="1" customWidth="1"/>
    <col min="14" max="15" width="10.28515625" bestFit="1" customWidth="1"/>
    <col min="16" max="16" width="9.42578125" bestFit="1" customWidth="1"/>
    <col min="17" max="17" width="9" bestFit="1" customWidth="1"/>
    <col min="19" max="19" width="9" bestFit="1" customWidth="1"/>
    <col min="20" max="20" width="10.42578125" customWidth="1"/>
    <col min="21" max="21" width="9" bestFit="1" customWidth="1"/>
    <col min="32" max="34" width="9.28515625" bestFit="1" customWidth="1"/>
  </cols>
  <sheetData>
    <row r="1" spans="1:19" ht="15.75" thickBot="1" x14ac:dyDescent="0.3">
      <c r="A1" t="s">
        <v>55</v>
      </c>
      <c r="B1" s="20"/>
      <c r="E1" s="27" t="s">
        <v>56</v>
      </c>
      <c r="F1" s="27"/>
      <c r="G1" s="27"/>
    </row>
    <row r="2" spans="1:19" ht="15.75" x14ac:dyDescent="0.25">
      <c r="B2" s="16" t="s">
        <v>38</v>
      </c>
      <c r="C2" s="9"/>
      <c r="D2" s="9"/>
      <c r="E2" s="9"/>
      <c r="F2" s="9"/>
      <c r="G2" s="9"/>
      <c r="H2" s="9"/>
      <c r="I2" s="9"/>
      <c r="J2" s="9"/>
      <c r="K2" s="9" t="s">
        <v>24</v>
      </c>
      <c r="L2" s="9"/>
      <c r="M2" s="9"/>
      <c r="N2" s="9"/>
      <c r="O2" s="9"/>
      <c r="P2" s="9"/>
      <c r="Q2" s="9"/>
    </row>
    <row r="3" spans="1:19" ht="15.75" x14ac:dyDescent="0.25">
      <c r="B3" s="9"/>
      <c r="C3" s="9" t="s">
        <v>34</v>
      </c>
      <c r="D3" s="9" t="s">
        <v>35</v>
      </c>
      <c r="E3" s="9"/>
      <c r="F3" s="9"/>
      <c r="G3" s="9"/>
      <c r="H3" s="9"/>
      <c r="I3" s="9"/>
      <c r="J3" s="9"/>
      <c r="K3" s="9">
        <f>AVERAGE(K5,K8,K11)</f>
        <v>0</v>
      </c>
      <c r="L3" s="97" t="s">
        <v>36</v>
      </c>
      <c r="M3" s="98"/>
      <c r="N3" s="98"/>
      <c r="O3" s="98"/>
      <c r="P3" s="98"/>
      <c r="Q3" s="99"/>
    </row>
    <row r="4" spans="1:19" ht="15.75" x14ac:dyDescent="0.25">
      <c r="B4" s="9" t="s">
        <v>1</v>
      </c>
      <c r="C4" s="9" t="s">
        <v>29</v>
      </c>
      <c r="D4" s="9" t="s">
        <v>30</v>
      </c>
      <c r="E4" s="9" t="s">
        <v>18</v>
      </c>
      <c r="F4" s="9" t="s">
        <v>19</v>
      </c>
      <c r="G4" s="9" t="s">
        <v>20</v>
      </c>
      <c r="H4" s="9" t="s">
        <v>21</v>
      </c>
      <c r="I4" s="9" t="s">
        <v>22</v>
      </c>
      <c r="J4" s="9" t="s">
        <v>23</v>
      </c>
      <c r="L4" s="9" t="s">
        <v>25</v>
      </c>
      <c r="M4" s="9" t="s">
        <v>26</v>
      </c>
      <c r="N4" s="9" t="s">
        <v>27</v>
      </c>
      <c r="O4" s="9" t="s">
        <v>2</v>
      </c>
      <c r="P4" s="9" t="s">
        <v>3</v>
      </c>
      <c r="Q4" s="9" t="s">
        <v>4</v>
      </c>
    </row>
    <row r="5" spans="1:19" ht="15.75" x14ac:dyDescent="0.25">
      <c r="A5" t="s">
        <v>28</v>
      </c>
      <c r="B5" t="s">
        <v>52</v>
      </c>
      <c r="C5" s="33"/>
      <c r="D5" s="32"/>
      <c r="E5" s="10">
        <f t="shared" ref="E5:E18" si="0">D5-C5</f>
        <v>0</v>
      </c>
      <c r="F5" s="10">
        <f t="shared" ref="F5:F19" si="1">POWER(2,-E5)</f>
        <v>1</v>
      </c>
      <c r="G5" s="11">
        <f t="shared" ref="G5:G19" si="2">F5/(F5+1)</f>
        <v>0.5</v>
      </c>
      <c r="H5" s="11">
        <f>AVERAGE(G5:G7)</f>
        <v>0.5</v>
      </c>
      <c r="I5" s="11">
        <f>1-H5</f>
        <v>0.5</v>
      </c>
      <c r="J5" s="11">
        <f>STDEV(G5:G7)</f>
        <v>0</v>
      </c>
      <c r="K5" s="10">
        <f>AVERAGE(E5:E7)</f>
        <v>0</v>
      </c>
      <c r="L5" s="10">
        <f>E5-K3</f>
        <v>0</v>
      </c>
      <c r="M5" s="10">
        <f t="shared" ref="M5:M19" si="3">POWER(2,-L5)</f>
        <v>1</v>
      </c>
      <c r="N5" s="11">
        <f>M5/(M5+1)</f>
        <v>0.5</v>
      </c>
      <c r="O5" s="11">
        <f>AVERAGE(N5:N7)</f>
        <v>0.5</v>
      </c>
      <c r="P5" s="11">
        <f>1-O5</f>
        <v>0.5</v>
      </c>
      <c r="Q5" s="11">
        <f>STDEV(N5:N7)</f>
        <v>0</v>
      </c>
      <c r="R5" t="s">
        <v>52</v>
      </c>
    </row>
    <row r="6" spans="1:19" ht="15.75" x14ac:dyDescent="0.25">
      <c r="B6" t="s">
        <v>52</v>
      </c>
      <c r="C6" s="33"/>
      <c r="D6" s="32"/>
      <c r="E6" s="9">
        <f t="shared" si="0"/>
        <v>0</v>
      </c>
      <c r="F6" s="9">
        <f t="shared" si="1"/>
        <v>1</v>
      </c>
      <c r="G6" s="12">
        <f t="shared" si="2"/>
        <v>0.5</v>
      </c>
      <c r="H6" s="9"/>
      <c r="I6" s="12"/>
      <c r="J6" s="12"/>
      <c r="K6" s="9"/>
      <c r="L6" s="9">
        <f>E6-K3</f>
        <v>0</v>
      </c>
      <c r="M6" s="9">
        <f t="shared" si="3"/>
        <v>1</v>
      </c>
      <c r="N6" s="12">
        <f t="shared" ref="N6:N19" si="4">M6/(M6+1)</f>
        <v>0.5</v>
      </c>
      <c r="O6" s="12"/>
      <c r="P6" s="12"/>
      <c r="Q6" s="12"/>
    </row>
    <row r="7" spans="1:19" ht="15.75" x14ac:dyDescent="0.25">
      <c r="B7" t="s">
        <v>52</v>
      </c>
      <c r="C7" s="33"/>
      <c r="D7" s="32"/>
      <c r="E7" s="9">
        <f t="shared" si="0"/>
        <v>0</v>
      </c>
      <c r="F7" s="9">
        <f t="shared" si="1"/>
        <v>1</v>
      </c>
      <c r="G7" s="12">
        <f t="shared" si="2"/>
        <v>0.5</v>
      </c>
      <c r="H7" s="9"/>
      <c r="I7" s="12"/>
      <c r="J7" s="12"/>
      <c r="K7" s="9"/>
      <c r="L7" s="9">
        <f>E7-K3</f>
        <v>0</v>
      </c>
      <c r="M7" s="9">
        <f t="shared" si="3"/>
        <v>1</v>
      </c>
      <c r="N7" s="12">
        <f t="shared" si="4"/>
        <v>0.5</v>
      </c>
      <c r="O7" s="12"/>
      <c r="P7" s="12"/>
      <c r="Q7" s="12"/>
    </row>
    <row r="8" spans="1:19" ht="15.75" x14ac:dyDescent="0.25">
      <c r="A8" t="s">
        <v>10</v>
      </c>
      <c r="B8" t="s">
        <v>53</v>
      </c>
      <c r="C8" s="33"/>
      <c r="D8" s="32"/>
      <c r="E8" s="9">
        <f t="shared" si="0"/>
        <v>0</v>
      </c>
      <c r="F8" s="9">
        <f t="shared" si="1"/>
        <v>1</v>
      </c>
      <c r="G8" s="12">
        <f t="shared" si="2"/>
        <v>0.5</v>
      </c>
      <c r="H8" s="12">
        <f>AVERAGE(G8:G10)</f>
        <v>0.5</v>
      </c>
      <c r="I8" s="12">
        <f>1-H8</f>
        <v>0.5</v>
      </c>
      <c r="J8" s="12">
        <f>STDEV(G8:G10)</f>
        <v>0</v>
      </c>
      <c r="K8" s="9">
        <f>AVERAGE(E8:E10)</f>
        <v>0</v>
      </c>
      <c r="L8" s="9">
        <f>E8-K3</f>
        <v>0</v>
      </c>
      <c r="M8" s="9">
        <f t="shared" si="3"/>
        <v>1</v>
      </c>
      <c r="N8" s="12">
        <f t="shared" si="4"/>
        <v>0.5</v>
      </c>
      <c r="O8" s="12">
        <f>AVERAGE(N8:N10)</f>
        <v>0.5</v>
      </c>
      <c r="P8" s="12">
        <f>1-O8</f>
        <v>0.5</v>
      </c>
      <c r="Q8" s="12">
        <f>STDEV(N8:N10)</f>
        <v>0</v>
      </c>
      <c r="R8" t="s">
        <v>53</v>
      </c>
    </row>
    <row r="9" spans="1:19" ht="15.75" x14ac:dyDescent="0.25">
      <c r="B9" t="s">
        <v>53</v>
      </c>
      <c r="C9" s="33"/>
      <c r="D9" s="32"/>
      <c r="E9" s="9">
        <f t="shared" si="0"/>
        <v>0</v>
      </c>
      <c r="F9" s="9">
        <f t="shared" si="1"/>
        <v>1</v>
      </c>
      <c r="G9" s="12">
        <f t="shared" si="2"/>
        <v>0.5</v>
      </c>
      <c r="H9" s="9"/>
      <c r="I9" s="12"/>
      <c r="J9" s="12"/>
      <c r="K9" s="9"/>
      <c r="L9" s="9">
        <f>E9-K3</f>
        <v>0</v>
      </c>
      <c r="M9" s="9">
        <f t="shared" si="3"/>
        <v>1</v>
      </c>
      <c r="N9" s="12">
        <f t="shared" si="4"/>
        <v>0.5</v>
      </c>
      <c r="O9" s="12"/>
      <c r="P9" s="12"/>
      <c r="Q9" s="12"/>
    </row>
    <row r="10" spans="1:19" ht="15.75" x14ac:dyDescent="0.25">
      <c r="B10" t="s">
        <v>53</v>
      </c>
      <c r="C10" s="33"/>
      <c r="D10" s="32"/>
      <c r="E10" s="9">
        <f t="shared" si="0"/>
        <v>0</v>
      </c>
      <c r="F10" s="9">
        <f t="shared" si="1"/>
        <v>1</v>
      </c>
      <c r="G10" s="12">
        <f t="shared" si="2"/>
        <v>0.5</v>
      </c>
      <c r="H10" s="9"/>
      <c r="I10" s="12"/>
      <c r="J10" s="12"/>
      <c r="K10" s="9"/>
      <c r="L10" s="9">
        <f>E10-K3</f>
        <v>0</v>
      </c>
      <c r="M10" s="9">
        <f t="shared" si="3"/>
        <v>1</v>
      </c>
      <c r="N10" s="12">
        <f t="shared" si="4"/>
        <v>0.5</v>
      </c>
      <c r="O10" s="12"/>
      <c r="P10" s="12"/>
      <c r="Q10" s="12"/>
    </row>
    <row r="11" spans="1:19" ht="15.75" x14ac:dyDescent="0.25">
      <c r="A11" t="s">
        <v>11</v>
      </c>
      <c r="B11" t="s">
        <v>54</v>
      </c>
      <c r="C11" s="33"/>
      <c r="D11" s="32"/>
      <c r="E11" s="9">
        <f t="shared" si="0"/>
        <v>0</v>
      </c>
      <c r="F11" s="9">
        <f t="shared" si="1"/>
        <v>1</v>
      </c>
      <c r="G11" s="12">
        <f t="shared" si="2"/>
        <v>0.5</v>
      </c>
      <c r="H11" s="12">
        <f>AVERAGE(G11:G13)</f>
        <v>0.5</v>
      </c>
      <c r="I11" s="12">
        <f>1-H11</f>
        <v>0.5</v>
      </c>
      <c r="J11" s="12">
        <f>STDEV(G11:G13)</f>
        <v>0</v>
      </c>
      <c r="K11" s="9">
        <f>AVERAGE(E11:E13)</f>
        <v>0</v>
      </c>
      <c r="L11" s="9">
        <f>E11-K3</f>
        <v>0</v>
      </c>
      <c r="M11" s="9">
        <f t="shared" si="3"/>
        <v>1</v>
      </c>
      <c r="N11" s="12">
        <f t="shared" si="4"/>
        <v>0.5</v>
      </c>
      <c r="O11" s="12">
        <f>AVERAGE(N11:N13)</f>
        <v>0.5</v>
      </c>
      <c r="P11" s="12">
        <f>1-O11</f>
        <v>0.5</v>
      </c>
      <c r="Q11" s="12">
        <f>STDEV(N11:N13)</f>
        <v>0</v>
      </c>
      <c r="R11" t="s">
        <v>54</v>
      </c>
      <c r="S11" s="28">
        <f>STDEV(N5:N13)</f>
        <v>0</v>
      </c>
    </row>
    <row r="12" spans="1:19" ht="15.75" x14ac:dyDescent="0.25">
      <c r="B12" t="s">
        <v>54</v>
      </c>
      <c r="C12" s="33"/>
      <c r="D12" s="32"/>
      <c r="E12" s="9">
        <f t="shared" si="0"/>
        <v>0</v>
      </c>
      <c r="F12" s="9">
        <f t="shared" si="1"/>
        <v>1</v>
      </c>
      <c r="G12" s="12">
        <f t="shared" si="2"/>
        <v>0.5</v>
      </c>
      <c r="H12" s="9"/>
      <c r="I12" s="12"/>
      <c r="J12" s="12"/>
      <c r="K12" s="9"/>
      <c r="L12" s="9">
        <f>E12-K3</f>
        <v>0</v>
      </c>
      <c r="M12" s="9">
        <f t="shared" si="3"/>
        <v>1</v>
      </c>
      <c r="N12" s="12">
        <f t="shared" si="4"/>
        <v>0.5</v>
      </c>
      <c r="O12" s="12"/>
      <c r="P12" s="12"/>
      <c r="Q12" s="12"/>
    </row>
    <row r="13" spans="1:19" ht="15.75" x14ac:dyDescent="0.25">
      <c r="B13" t="s">
        <v>54</v>
      </c>
      <c r="C13" s="33"/>
      <c r="D13" s="32"/>
      <c r="E13" s="9">
        <f t="shared" si="0"/>
        <v>0</v>
      </c>
      <c r="F13" s="9">
        <f t="shared" si="1"/>
        <v>1</v>
      </c>
      <c r="G13" s="12">
        <f t="shared" si="2"/>
        <v>0.5</v>
      </c>
      <c r="H13" s="9"/>
      <c r="I13" s="12"/>
      <c r="J13" s="12"/>
      <c r="K13" s="9"/>
      <c r="L13" s="9">
        <f>E13-K3</f>
        <v>0</v>
      </c>
      <c r="M13" s="9">
        <f t="shared" si="3"/>
        <v>1</v>
      </c>
      <c r="N13" s="12">
        <f t="shared" si="4"/>
        <v>0.5</v>
      </c>
      <c r="O13" s="12"/>
      <c r="P13" s="12"/>
      <c r="Q13" s="12"/>
    </row>
    <row r="14" spans="1:19" ht="15.75" x14ac:dyDescent="0.25">
      <c r="B14" s="7" t="s">
        <v>102</v>
      </c>
      <c r="C14" s="33"/>
      <c r="D14" s="32"/>
      <c r="E14" s="9">
        <f t="shared" si="0"/>
        <v>0</v>
      </c>
      <c r="F14" s="9">
        <f t="shared" si="1"/>
        <v>1</v>
      </c>
      <c r="G14" s="12">
        <f t="shared" si="2"/>
        <v>0.5</v>
      </c>
      <c r="H14" s="12">
        <f>AVERAGE(G14:G16)</f>
        <v>0.5</v>
      </c>
      <c r="I14" s="12">
        <f>1-H14</f>
        <v>0.5</v>
      </c>
      <c r="J14" s="12">
        <f>STDEV(G14:G16)</f>
        <v>0</v>
      </c>
      <c r="K14" s="9"/>
      <c r="L14" s="9">
        <f>E14-K3</f>
        <v>0</v>
      </c>
      <c r="M14" s="9">
        <f t="shared" si="3"/>
        <v>1</v>
      </c>
      <c r="N14" s="12">
        <f t="shared" si="4"/>
        <v>0.5</v>
      </c>
      <c r="O14" s="12">
        <f>AVERAGE(N14:N16)</f>
        <v>0.5</v>
      </c>
      <c r="P14" s="12">
        <f>1-O14</f>
        <v>0.5</v>
      </c>
      <c r="Q14" s="12">
        <f>STDEV(N14:N16)</f>
        <v>0</v>
      </c>
      <c r="R14" t="str">
        <f>'StepOne Data'!$A$6</f>
        <v>BWR-XXXX</v>
      </c>
    </row>
    <row r="15" spans="1:19" ht="15.75" x14ac:dyDescent="0.25">
      <c r="B15" s="7" t="s">
        <v>102</v>
      </c>
      <c r="C15" s="33"/>
      <c r="D15" s="32"/>
      <c r="E15" s="9">
        <f t="shared" si="0"/>
        <v>0</v>
      </c>
      <c r="F15" s="9">
        <f t="shared" si="1"/>
        <v>1</v>
      </c>
      <c r="G15" s="12">
        <f t="shared" si="2"/>
        <v>0.5</v>
      </c>
      <c r="H15" s="9"/>
      <c r="I15" s="12"/>
      <c r="J15" s="12"/>
      <c r="K15" s="9"/>
      <c r="L15" s="9">
        <f>E15-K3</f>
        <v>0</v>
      </c>
      <c r="M15" s="9">
        <f t="shared" si="3"/>
        <v>1</v>
      </c>
      <c r="N15" s="12">
        <f t="shared" si="4"/>
        <v>0.5</v>
      </c>
      <c r="O15" s="12"/>
      <c r="P15" s="12"/>
      <c r="Q15" s="12"/>
    </row>
    <row r="16" spans="1:19" ht="15.75" x14ac:dyDescent="0.25">
      <c r="B16" s="7" t="s">
        <v>102</v>
      </c>
      <c r="C16" s="33"/>
      <c r="D16" s="32"/>
      <c r="E16" s="9">
        <f t="shared" si="0"/>
        <v>0</v>
      </c>
      <c r="F16" s="9">
        <f t="shared" si="1"/>
        <v>1</v>
      </c>
      <c r="G16" s="12">
        <f t="shared" si="2"/>
        <v>0.5</v>
      </c>
      <c r="H16" s="9"/>
      <c r="I16" s="12"/>
      <c r="J16" s="12"/>
      <c r="K16" s="9"/>
      <c r="L16" s="9">
        <f>E16-K3</f>
        <v>0</v>
      </c>
      <c r="M16" s="9">
        <f t="shared" si="3"/>
        <v>1</v>
      </c>
      <c r="N16" s="12">
        <f t="shared" si="4"/>
        <v>0.5</v>
      </c>
      <c r="O16" s="12"/>
      <c r="P16" s="12"/>
      <c r="Q16" s="12"/>
    </row>
    <row r="17" spans="1:21" ht="15.75" x14ac:dyDescent="0.25">
      <c r="B17" t="s">
        <v>15</v>
      </c>
      <c r="C17" s="33"/>
      <c r="D17" s="32"/>
      <c r="E17" s="9">
        <f>D17-C17</f>
        <v>0</v>
      </c>
      <c r="F17" s="9">
        <f t="shared" si="1"/>
        <v>1</v>
      </c>
      <c r="G17" s="12">
        <f t="shared" si="2"/>
        <v>0.5</v>
      </c>
      <c r="H17" s="12">
        <f>AVERAGE(G17:G19)</f>
        <v>0.5</v>
      </c>
      <c r="I17" s="12">
        <f>1-H17</f>
        <v>0.5</v>
      </c>
      <c r="J17" s="12">
        <f>STDEV(G17:G19)</f>
        <v>0</v>
      </c>
      <c r="K17" s="9"/>
      <c r="L17" s="9">
        <f>E17-K3</f>
        <v>0</v>
      </c>
      <c r="M17" s="9">
        <f t="shared" si="3"/>
        <v>1</v>
      </c>
      <c r="N17" s="12">
        <f t="shared" si="4"/>
        <v>0.5</v>
      </c>
      <c r="O17" s="12">
        <f>AVERAGE(N17:N19)</f>
        <v>0.5</v>
      </c>
      <c r="P17" s="12">
        <f>1-O17</f>
        <v>0.5</v>
      </c>
      <c r="Q17" s="12">
        <f>STDEV(N17:N19)</f>
        <v>0</v>
      </c>
      <c r="R17" t="s">
        <v>15</v>
      </c>
    </row>
    <row r="18" spans="1:21" ht="15.75" x14ac:dyDescent="0.25">
      <c r="B18" t="s">
        <v>15</v>
      </c>
      <c r="C18" s="33"/>
      <c r="D18" s="32"/>
      <c r="E18" s="9">
        <f t="shared" si="0"/>
        <v>0</v>
      </c>
      <c r="F18" s="9">
        <f t="shared" si="1"/>
        <v>1</v>
      </c>
      <c r="G18" s="12">
        <f t="shared" si="2"/>
        <v>0.5</v>
      </c>
      <c r="H18" s="9"/>
      <c r="I18" s="12"/>
      <c r="J18" s="12"/>
      <c r="K18" s="9"/>
      <c r="L18" s="9">
        <f>E18-K3</f>
        <v>0</v>
      </c>
      <c r="M18" s="9">
        <f t="shared" si="3"/>
        <v>1</v>
      </c>
      <c r="N18" s="12">
        <f t="shared" si="4"/>
        <v>0.5</v>
      </c>
      <c r="O18" s="12"/>
      <c r="P18" s="12"/>
      <c r="Q18" s="12"/>
    </row>
    <row r="19" spans="1:21" ht="15.75" x14ac:dyDescent="0.25">
      <c r="B19" t="s">
        <v>15</v>
      </c>
      <c r="C19" s="33"/>
      <c r="D19" s="32"/>
      <c r="E19" s="9">
        <f>D19-C19</f>
        <v>0</v>
      </c>
      <c r="F19" s="9">
        <f t="shared" si="1"/>
        <v>1</v>
      </c>
      <c r="G19" s="12">
        <f t="shared" si="2"/>
        <v>0.5</v>
      </c>
      <c r="H19" s="9"/>
      <c r="I19" s="12"/>
      <c r="J19" s="12"/>
      <c r="K19" s="9"/>
      <c r="L19" s="9">
        <f>E19-K3</f>
        <v>0</v>
      </c>
      <c r="M19" s="9">
        <f t="shared" si="3"/>
        <v>1</v>
      </c>
      <c r="N19" s="12">
        <f t="shared" si="4"/>
        <v>0.5</v>
      </c>
      <c r="O19" s="12"/>
      <c r="P19" s="12"/>
      <c r="Q19" s="12"/>
    </row>
    <row r="20" spans="1:21" x14ac:dyDescent="0.25">
      <c r="T20" t="s">
        <v>59</v>
      </c>
      <c r="U20" s="28">
        <f>AVERAGE(N5:N13,N26:N34)</f>
        <v>0.5</v>
      </c>
    </row>
    <row r="21" spans="1:21" x14ac:dyDescent="0.25">
      <c r="T21" t="s">
        <v>60</v>
      </c>
      <c r="U21" s="70">
        <f>STDEV(N5:N13,N26:N34)</f>
        <v>0</v>
      </c>
    </row>
    <row r="22" spans="1:21" x14ac:dyDescent="0.25">
      <c r="T22" t="s">
        <v>61</v>
      </c>
      <c r="U22" s="29">
        <f>U20-(2*U21)</f>
        <v>0.5</v>
      </c>
    </row>
    <row r="23" spans="1:21" ht="15.75" x14ac:dyDescent="0.25">
      <c r="B23" s="17" t="s">
        <v>37</v>
      </c>
      <c r="C23" s="9"/>
      <c r="D23" s="9"/>
      <c r="E23" s="9"/>
      <c r="F23" s="9"/>
      <c r="G23" s="9"/>
      <c r="H23" s="9"/>
      <c r="I23" s="9"/>
      <c r="J23" s="9"/>
      <c r="K23" s="9" t="s">
        <v>24</v>
      </c>
      <c r="L23" s="9"/>
      <c r="M23" s="9"/>
      <c r="N23" s="9"/>
      <c r="O23" s="9"/>
      <c r="P23" s="9"/>
      <c r="Q23" s="9"/>
      <c r="T23" t="s">
        <v>62</v>
      </c>
      <c r="U23" s="29">
        <f>U20+(2*U21)</f>
        <v>0.5</v>
      </c>
    </row>
    <row r="24" spans="1:21" ht="15.75" x14ac:dyDescent="0.25">
      <c r="B24" s="9"/>
      <c r="C24" s="9"/>
      <c r="D24" s="9"/>
      <c r="E24" s="9"/>
      <c r="F24" s="9"/>
      <c r="G24" s="9"/>
      <c r="H24" s="9"/>
      <c r="I24" s="9"/>
      <c r="J24" s="9"/>
      <c r="K24" s="9">
        <f>AVERAGE(K26,K29,K32)</f>
        <v>0</v>
      </c>
      <c r="L24" s="97" t="s">
        <v>36</v>
      </c>
      <c r="M24" s="98"/>
      <c r="N24" s="98"/>
      <c r="O24" s="98"/>
      <c r="P24" s="98"/>
      <c r="Q24" s="99"/>
    </row>
    <row r="25" spans="1:21" ht="15.75" x14ac:dyDescent="0.25">
      <c r="B25" s="9" t="s">
        <v>1</v>
      </c>
      <c r="C25" s="9" t="s">
        <v>16</v>
      </c>
      <c r="D25" s="9" t="s">
        <v>17</v>
      </c>
      <c r="E25" s="9" t="s">
        <v>18</v>
      </c>
      <c r="F25" s="9" t="s">
        <v>19</v>
      </c>
      <c r="G25" s="9" t="s">
        <v>20</v>
      </c>
      <c r="H25" s="9" t="s">
        <v>21</v>
      </c>
      <c r="I25" s="9" t="s">
        <v>22</v>
      </c>
      <c r="J25" s="9" t="s">
        <v>23</v>
      </c>
      <c r="L25" s="9" t="s">
        <v>25</v>
      </c>
      <c r="M25" s="9" t="s">
        <v>26</v>
      </c>
      <c r="N25" s="9" t="s">
        <v>27</v>
      </c>
      <c r="O25" s="9" t="s">
        <v>2</v>
      </c>
      <c r="P25" s="9" t="s">
        <v>3</v>
      </c>
      <c r="Q25" s="9" t="s">
        <v>4</v>
      </c>
    </row>
    <row r="26" spans="1:21" ht="15.75" customHeight="1" x14ac:dyDescent="0.25">
      <c r="A26" t="s">
        <v>28</v>
      </c>
      <c r="B26" t="s">
        <v>52</v>
      </c>
      <c r="C26" s="31"/>
      <c r="E26" s="10">
        <f t="shared" ref="E26:E40" si="5">D26-C26</f>
        <v>0</v>
      </c>
      <c r="F26" s="10">
        <f t="shared" ref="F26:F40" si="6">POWER(2,-E26)</f>
        <v>1</v>
      </c>
      <c r="G26" s="11">
        <f t="shared" ref="G26:G40" si="7">F26/(F26+1)</f>
        <v>0.5</v>
      </c>
      <c r="H26" s="11">
        <f>AVERAGE(G26:G28)</f>
        <v>0.5</v>
      </c>
      <c r="I26" s="11">
        <f>1-H26</f>
        <v>0.5</v>
      </c>
      <c r="J26" s="11">
        <f>STDEV(G26:G28)</f>
        <v>0</v>
      </c>
      <c r="K26" s="9">
        <f>AVERAGE(E26:E28)</f>
        <v>0</v>
      </c>
      <c r="L26" s="10">
        <f>E26-K24</f>
        <v>0</v>
      </c>
      <c r="M26" s="10">
        <f t="shared" ref="M26:M40" si="8">POWER(2,-L26)</f>
        <v>1</v>
      </c>
      <c r="N26" s="11">
        <f>M26/(M26+1)</f>
        <v>0.5</v>
      </c>
      <c r="O26" s="11">
        <f>AVERAGE(N26:N28)</f>
        <v>0.5</v>
      </c>
      <c r="P26" s="11">
        <f>1-O26</f>
        <v>0.5</v>
      </c>
      <c r="Q26" s="11">
        <f>STDEV(N26:N28)</f>
        <v>0</v>
      </c>
      <c r="R26" t="s">
        <v>52</v>
      </c>
    </row>
    <row r="27" spans="1:21" ht="15.75" x14ac:dyDescent="0.25">
      <c r="B27" t="s">
        <v>52</v>
      </c>
      <c r="C27" s="31"/>
      <c r="E27" s="9">
        <f t="shared" si="5"/>
        <v>0</v>
      </c>
      <c r="F27" s="9">
        <f t="shared" si="6"/>
        <v>1</v>
      </c>
      <c r="G27" s="12">
        <f t="shared" si="7"/>
        <v>0.5</v>
      </c>
      <c r="H27" s="9"/>
      <c r="I27" s="12"/>
      <c r="J27" s="12"/>
      <c r="K27" s="9"/>
      <c r="L27" s="9">
        <f>E27-K24</f>
        <v>0</v>
      </c>
      <c r="M27" s="9">
        <f t="shared" si="8"/>
        <v>1</v>
      </c>
      <c r="N27" s="12">
        <f t="shared" ref="N27:N40" si="9">M27/(M27+1)</f>
        <v>0.5</v>
      </c>
      <c r="O27" s="12"/>
      <c r="P27" s="12"/>
      <c r="Q27" s="12"/>
    </row>
    <row r="28" spans="1:21" ht="15.75" x14ac:dyDescent="0.25">
      <c r="B28" t="s">
        <v>52</v>
      </c>
      <c r="C28" s="31"/>
      <c r="E28" s="9">
        <f t="shared" si="5"/>
        <v>0</v>
      </c>
      <c r="F28" s="9">
        <f t="shared" si="6"/>
        <v>1</v>
      </c>
      <c r="G28" s="12">
        <f t="shared" si="7"/>
        <v>0.5</v>
      </c>
      <c r="H28" s="9"/>
      <c r="I28" s="12"/>
      <c r="J28" s="12"/>
      <c r="K28" s="9"/>
      <c r="L28" s="9">
        <f>E28-K24</f>
        <v>0</v>
      </c>
      <c r="M28" s="9">
        <f t="shared" si="8"/>
        <v>1</v>
      </c>
      <c r="N28" s="12">
        <f t="shared" si="9"/>
        <v>0.5</v>
      </c>
      <c r="O28" s="12"/>
      <c r="P28" s="12"/>
      <c r="Q28" s="12"/>
    </row>
    <row r="29" spans="1:21" ht="15.75" x14ac:dyDescent="0.25">
      <c r="A29" t="s">
        <v>10</v>
      </c>
      <c r="B29" t="s">
        <v>53</v>
      </c>
      <c r="C29" s="31"/>
      <c r="E29" s="9">
        <f t="shared" si="5"/>
        <v>0</v>
      </c>
      <c r="F29" s="9">
        <f t="shared" si="6"/>
        <v>1</v>
      </c>
      <c r="G29" s="12">
        <f t="shared" si="7"/>
        <v>0.5</v>
      </c>
      <c r="H29" s="12">
        <f>AVERAGE(G29:G31)</f>
        <v>0.5</v>
      </c>
      <c r="I29" s="12">
        <f>1-H29</f>
        <v>0.5</v>
      </c>
      <c r="J29" s="12">
        <f>STDEV(G29:G31)</f>
        <v>0</v>
      </c>
      <c r="K29" s="9">
        <f>AVERAGE(E29:E31)</f>
        <v>0</v>
      </c>
      <c r="L29" s="9">
        <f>E29-K24</f>
        <v>0</v>
      </c>
      <c r="M29" s="9">
        <f t="shared" si="8"/>
        <v>1</v>
      </c>
      <c r="N29" s="12">
        <f t="shared" si="9"/>
        <v>0.5</v>
      </c>
      <c r="O29" s="12">
        <f>AVERAGE(N29:N31)</f>
        <v>0.5</v>
      </c>
      <c r="P29" s="12">
        <f>1-O29</f>
        <v>0.5</v>
      </c>
      <c r="Q29" s="12">
        <f>STDEV(N29:N31)</f>
        <v>0</v>
      </c>
      <c r="R29" t="s">
        <v>53</v>
      </c>
    </row>
    <row r="30" spans="1:21" ht="15.75" x14ac:dyDescent="0.25">
      <c r="B30" t="s">
        <v>53</v>
      </c>
      <c r="C30" s="31"/>
      <c r="E30" s="9">
        <f t="shared" si="5"/>
        <v>0</v>
      </c>
      <c r="F30" s="9">
        <f t="shared" si="6"/>
        <v>1</v>
      </c>
      <c r="G30" s="12">
        <f t="shared" si="7"/>
        <v>0.5</v>
      </c>
      <c r="H30" s="9"/>
      <c r="I30" s="12"/>
      <c r="J30" s="12"/>
      <c r="K30" s="9"/>
      <c r="L30" s="9">
        <f>E30-K24</f>
        <v>0</v>
      </c>
      <c r="M30" s="9">
        <f t="shared" si="8"/>
        <v>1</v>
      </c>
      <c r="N30" s="12">
        <f t="shared" si="9"/>
        <v>0.5</v>
      </c>
      <c r="O30" s="12"/>
      <c r="P30" s="12"/>
      <c r="Q30" s="12"/>
    </row>
    <row r="31" spans="1:21" ht="15.75" x14ac:dyDescent="0.25">
      <c r="B31" t="s">
        <v>53</v>
      </c>
      <c r="C31" s="31"/>
      <c r="E31" s="9">
        <f t="shared" si="5"/>
        <v>0</v>
      </c>
      <c r="F31" s="9">
        <f t="shared" si="6"/>
        <v>1</v>
      </c>
      <c r="G31" s="12">
        <f t="shared" si="7"/>
        <v>0.5</v>
      </c>
      <c r="H31" s="9"/>
      <c r="I31" s="12"/>
      <c r="J31" s="12"/>
      <c r="K31" s="9"/>
      <c r="L31" s="9">
        <f>E31-K24</f>
        <v>0</v>
      </c>
      <c r="M31" s="9">
        <f t="shared" si="8"/>
        <v>1</v>
      </c>
      <c r="N31" s="12">
        <f t="shared" si="9"/>
        <v>0.5</v>
      </c>
      <c r="O31" s="12"/>
      <c r="P31" s="12"/>
      <c r="Q31" s="12"/>
    </row>
    <row r="32" spans="1:21" ht="15.75" x14ac:dyDescent="0.25">
      <c r="A32" t="s">
        <v>11</v>
      </c>
      <c r="B32" t="s">
        <v>54</v>
      </c>
      <c r="C32" s="31"/>
      <c r="E32" s="9">
        <f t="shared" si="5"/>
        <v>0</v>
      </c>
      <c r="F32" s="9">
        <f t="shared" si="6"/>
        <v>1</v>
      </c>
      <c r="G32" s="12">
        <f t="shared" si="7"/>
        <v>0.5</v>
      </c>
      <c r="H32" s="12">
        <f>AVERAGE(G32:G34)</f>
        <v>0.5</v>
      </c>
      <c r="I32" s="12">
        <f>1-H32</f>
        <v>0.5</v>
      </c>
      <c r="J32" s="12">
        <f>STDEV(G32:G34)</f>
        <v>0</v>
      </c>
      <c r="K32" s="9">
        <f>AVERAGE(E32:E34)</f>
        <v>0</v>
      </c>
      <c r="L32" s="9">
        <f>E32-K24</f>
        <v>0</v>
      </c>
      <c r="M32" s="9">
        <f t="shared" si="8"/>
        <v>1</v>
      </c>
      <c r="N32" s="12">
        <f t="shared" si="9"/>
        <v>0.5</v>
      </c>
      <c r="O32" s="12">
        <f>AVERAGE(N32:N34)</f>
        <v>0.5</v>
      </c>
      <c r="P32" s="12">
        <f>1-O32</f>
        <v>0.5</v>
      </c>
      <c r="Q32" s="12">
        <f>STDEV(N32:N34)</f>
        <v>0</v>
      </c>
      <c r="R32" t="s">
        <v>54</v>
      </c>
      <c r="S32" s="28">
        <f>STDEV(N26:N34)</f>
        <v>0</v>
      </c>
    </row>
    <row r="33" spans="2:18" ht="15.75" x14ac:dyDescent="0.25">
      <c r="B33" t="s">
        <v>54</v>
      </c>
      <c r="C33" s="31"/>
      <c r="E33" s="9">
        <f t="shared" si="5"/>
        <v>0</v>
      </c>
      <c r="F33" s="9">
        <f t="shared" si="6"/>
        <v>1</v>
      </c>
      <c r="G33" s="12">
        <f t="shared" si="7"/>
        <v>0.5</v>
      </c>
      <c r="H33" s="9"/>
      <c r="I33" s="12"/>
      <c r="J33" s="12"/>
      <c r="K33" s="9"/>
      <c r="L33" s="9">
        <f>E33-K24</f>
        <v>0</v>
      </c>
      <c r="M33" s="9">
        <f t="shared" si="8"/>
        <v>1</v>
      </c>
      <c r="N33" s="12">
        <f t="shared" si="9"/>
        <v>0.5</v>
      </c>
      <c r="O33" s="12"/>
      <c r="P33" s="12"/>
      <c r="Q33" s="12"/>
    </row>
    <row r="34" spans="2:18" ht="15.75" x14ac:dyDescent="0.25">
      <c r="B34" t="s">
        <v>54</v>
      </c>
      <c r="C34" s="31"/>
      <c r="E34" s="9">
        <f t="shared" si="5"/>
        <v>0</v>
      </c>
      <c r="F34" s="9">
        <f t="shared" si="6"/>
        <v>1</v>
      </c>
      <c r="G34" s="12">
        <f t="shared" si="7"/>
        <v>0.5</v>
      </c>
      <c r="H34" s="9"/>
      <c r="I34" s="12"/>
      <c r="J34" s="12"/>
      <c r="K34" s="9"/>
      <c r="L34" s="9">
        <f>E34-K24</f>
        <v>0</v>
      </c>
      <c r="M34" s="9">
        <f t="shared" si="8"/>
        <v>1</v>
      </c>
      <c r="N34" s="12">
        <f t="shared" si="9"/>
        <v>0.5</v>
      </c>
      <c r="O34" s="12"/>
      <c r="P34" s="12"/>
      <c r="Q34" s="12"/>
    </row>
    <row r="35" spans="2:18" ht="15.75" x14ac:dyDescent="0.25">
      <c r="B35" s="7" t="s">
        <v>102</v>
      </c>
      <c r="C35" s="31"/>
      <c r="E35" s="9">
        <f t="shared" si="5"/>
        <v>0</v>
      </c>
      <c r="F35" s="9">
        <f t="shared" si="6"/>
        <v>1</v>
      </c>
      <c r="G35" s="12">
        <f t="shared" si="7"/>
        <v>0.5</v>
      </c>
      <c r="H35" s="12">
        <f>AVERAGE(G35:G37)</f>
        <v>0.5</v>
      </c>
      <c r="I35" s="12">
        <f>1-H35</f>
        <v>0.5</v>
      </c>
      <c r="J35" s="12">
        <f>STDEV(G35:G37)</f>
        <v>0</v>
      </c>
      <c r="K35" s="9"/>
      <c r="L35" s="9">
        <f>E35-K24</f>
        <v>0</v>
      </c>
      <c r="M35" s="9">
        <f t="shared" si="8"/>
        <v>1</v>
      </c>
      <c r="N35" s="12">
        <f t="shared" si="9"/>
        <v>0.5</v>
      </c>
      <c r="O35" s="12">
        <f>AVERAGE(N35:N37)</f>
        <v>0.5</v>
      </c>
      <c r="P35" s="12">
        <f>1-O35</f>
        <v>0.5</v>
      </c>
      <c r="Q35" s="12">
        <f>STDEV(N35:N37)</f>
        <v>0</v>
      </c>
      <c r="R35" t="str">
        <f>'StepOne Data'!$A$6</f>
        <v>BWR-XXXX</v>
      </c>
    </row>
    <row r="36" spans="2:18" ht="15.75" x14ac:dyDescent="0.25">
      <c r="B36" s="7" t="s">
        <v>102</v>
      </c>
      <c r="C36" s="31"/>
      <c r="E36" s="9">
        <f t="shared" si="5"/>
        <v>0</v>
      </c>
      <c r="F36" s="9">
        <f t="shared" si="6"/>
        <v>1</v>
      </c>
      <c r="G36" s="12">
        <f t="shared" si="7"/>
        <v>0.5</v>
      </c>
      <c r="H36" s="9"/>
      <c r="I36" s="12"/>
      <c r="J36" s="12"/>
      <c r="K36" s="9"/>
      <c r="L36" s="9">
        <f>E36-K24</f>
        <v>0</v>
      </c>
      <c r="M36" s="9">
        <f t="shared" si="8"/>
        <v>1</v>
      </c>
      <c r="N36" s="12">
        <f t="shared" si="9"/>
        <v>0.5</v>
      </c>
      <c r="O36" s="12"/>
      <c r="P36" s="12"/>
      <c r="Q36" s="12"/>
    </row>
    <row r="37" spans="2:18" ht="15.75" x14ac:dyDescent="0.25">
      <c r="B37" s="7" t="s">
        <v>102</v>
      </c>
      <c r="C37" s="31"/>
      <c r="E37" s="9">
        <f t="shared" si="5"/>
        <v>0</v>
      </c>
      <c r="F37" s="9">
        <f t="shared" si="6"/>
        <v>1</v>
      </c>
      <c r="G37" s="12">
        <f t="shared" si="7"/>
        <v>0.5</v>
      </c>
      <c r="H37" s="9"/>
      <c r="I37" s="12"/>
      <c r="J37" s="12"/>
      <c r="K37" s="9"/>
      <c r="L37" s="9">
        <f>E37-K24</f>
        <v>0</v>
      </c>
      <c r="M37" s="9">
        <f t="shared" si="8"/>
        <v>1</v>
      </c>
      <c r="N37" s="12">
        <f t="shared" si="9"/>
        <v>0.5</v>
      </c>
      <c r="O37" s="12"/>
      <c r="P37" s="12"/>
      <c r="Q37" s="12"/>
    </row>
    <row r="38" spans="2:18" ht="15.75" x14ac:dyDescent="0.25">
      <c r="B38" t="s">
        <v>15</v>
      </c>
      <c r="C38" s="31"/>
      <c r="E38" s="9">
        <f t="shared" si="5"/>
        <v>0</v>
      </c>
      <c r="F38" s="9">
        <f t="shared" si="6"/>
        <v>1</v>
      </c>
      <c r="G38" s="12">
        <f t="shared" si="7"/>
        <v>0.5</v>
      </c>
      <c r="H38" s="12">
        <f>AVERAGE(G38:G40)</f>
        <v>0.5</v>
      </c>
      <c r="I38" s="12">
        <f>1-H38</f>
        <v>0.5</v>
      </c>
      <c r="J38" s="12">
        <f>STDEV(G38:G40)</f>
        <v>0</v>
      </c>
      <c r="K38" s="9"/>
      <c r="L38" s="9">
        <f>E38-K24</f>
        <v>0</v>
      </c>
      <c r="M38" s="9">
        <f t="shared" si="8"/>
        <v>1</v>
      </c>
      <c r="N38" s="12">
        <f t="shared" si="9"/>
        <v>0.5</v>
      </c>
      <c r="O38" s="12">
        <f>AVERAGE(N38:N40)</f>
        <v>0.5</v>
      </c>
      <c r="P38" s="12">
        <f>1-O38</f>
        <v>0.5</v>
      </c>
      <c r="Q38" s="12">
        <f>STDEV(N38:N40)</f>
        <v>0</v>
      </c>
      <c r="R38" t="s">
        <v>15</v>
      </c>
    </row>
    <row r="39" spans="2:18" ht="15.75" x14ac:dyDescent="0.25">
      <c r="B39" t="s">
        <v>15</v>
      </c>
      <c r="C39" s="31"/>
      <c r="E39" s="9">
        <f t="shared" si="5"/>
        <v>0</v>
      </c>
      <c r="F39" s="9">
        <f t="shared" si="6"/>
        <v>1</v>
      </c>
      <c r="G39" s="12">
        <f t="shared" si="7"/>
        <v>0.5</v>
      </c>
      <c r="H39" s="9"/>
      <c r="I39" s="12"/>
      <c r="J39" s="12"/>
      <c r="K39" s="9"/>
      <c r="L39" s="9">
        <f>E39-K24</f>
        <v>0</v>
      </c>
      <c r="M39" s="9">
        <f t="shared" si="8"/>
        <v>1</v>
      </c>
      <c r="N39" s="12">
        <f t="shared" si="9"/>
        <v>0.5</v>
      </c>
      <c r="O39" s="12"/>
      <c r="P39" s="12"/>
      <c r="Q39" s="12"/>
    </row>
    <row r="40" spans="2:18" ht="15.75" x14ac:dyDescent="0.25">
      <c r="B40" t="s">
        <v>15</v>
      </c>
      <c r="C40" s="31"/>
      <c r="E40" s="9">
        <f t="shared" si="5"/>
        <v>0</v>
      </c>
      <c r="F40" s="9">
        <f t="shared" si="6"/>
        <v>1</v>
      </c>
      <c r="G40" s="12">
        <f t="shared" si="7"/>
        <v>0.5</v>
      </c>
      <c r="H40" s="9"/>
      <c r="I40" s="12"/>
      <c r="J40" s="12"/>
      <c r="K40" s="9"/>
      <c r="L40" s="9">
        <f>E40-K24</f>
        <v>0</v>
      </c>
      <c r="M40" s="9">
        <f t="shared" si="8"/>
        <v>1</v>
      </c>
      <c r="N40" s="12">
        <f t="shared" si="9"/>
        <v>0.5</v>
      </c>
      <c r="O40" s="12"/>
      <c r="P40" s="12"/>
      <c r="Q40" s="12"/>
    </row>
  </sheetData>
  <customSheetViews>
    <customSheetView guid="{07198B33-CC73-4AA7-9DB4-40B4BEF2EAD4}" topLeftCell="A23">
      <selection activeCell="O38" sqref="O38:Q38"/>
      <pageMargins left="0.7" right="0.7" top="0.75" bottom="0.75" header="0.3" footer="0.3"/>
    </customSheetView>
  </customSheetViews>
  <mergeCells count="2">
    <mergeCell ref="L3:Q3"/>
    <mergeCell ref="L24:Q24"/>
  </mergeCells>
  <pageMargins left="0.7" right="0.7" top="0.75" bottom="0.75" header="0.3" footer="0.3"/>
  <pageSetup orientation="portrait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J24"/>
  <sheetViews>
    <sheetView topLeftCell="H1" workbookViewId="0">
      <selection activeCell="O5" sqref="O5:Q5"/>
    </sheetView>
  </sheetViews>
  <sheetFormatPr defaultColWidth="8.85546875" defaultRowHeight="15" x14ac:dyDescent="0.25"/>
  <cols>
    <col min="2" max="2" width="27" customWidth="1"/>
    <col min="3" max="3" width="11.28515625" customWidth="1"/>
    <col min="7" max="7" width="10.7109375" bestFit="1" customWidth="1"/>
    <col min="8" max="8" width="11.140625" bestFit="1" customWidth="1"/>
  </cols>
  <sheetData>
    <row r="1" spans="1:10" ht="15.75" thickBot="1" x14ac:dyDescent="0.3">
      <c r="A1" s="15" t="s">
        <v>46</v>
      </c>
      <c r="B1" s="14" t="s">
        <v>45</v>
      </c>
      <c r="C1" s="14" t="s">
        <v>44</v>
      </c>
      <c r="D1" s="14" t="s">
        <v>43</v>
      </c>
      <c r="E1" s="14" t="s">
        <v>42</v>
      </c>
      <c r="F1" s="13" t="s">
        <v>41</v>
      </c>
      <c r="G1" s="14" t="s">
        <v>40</v>
      </c>
      <c r="H1" s="13" t="s">
        <v>39</v>
      </c>
    </row>
    <row r="3" spans="1:10" x14ac:dyDescent="0.25">
      <c r="A3" s="67"/>
      <c r="B3" s="67"/>
      <c r="C3" s="67"/>
      <c r="D3" s="67"/>
      <c r="E3" s="67"/>
      <c r="F3" s="67"/>
      <c r="G3">
        <f>D3-E3</f>
        <v>0</v>
      </c>
      <c r="H3">
        <f>F3-D3</f>
        <v>0</v>
      </c>
      <c r="I3">
        <v>1.33</v>
      </c>
      <c r="J3">
        <v>0.67</v>
      </c>
    </row>
    <row r="4" spans="1:10" x14ac:dyDescent="0.25">
      <c r="A4" s="67"/>
      <c r="B4" s="67"/>
      <c r="C4" s="67"/>
      <c r="D4" s="67"/>
      <c r="E4" s="67"/>
      <c r="F4" s="67"/>
      <c r="G4">
        <f t="shared" ref="G4:G17" si="0">D4-E4</f>
        <v>0</v>
      </c>
      <c r="H4">
        <f t="shared" ref="H4:H17" si="1">F4-D4</f>
        <v>0</v>
      </c>
      <c r="I4">
        <v>1.33</v>
      </c>
      <c r="J4">
        <v>0.67</v>
      </c>
    </row>
    <row r="5" spans="1:10" x14ac:dyDescent="0.25">
      <c r="A5" s="67"/>
      <c r="B5" s="67"/>
      <c r="C5" s="67"/>
      <c r="D5" s="67"/>
      <c r="E5" s="67"/>
      <c r="F5" s="67"/>
      <c r="G5">
        <f t="shared" si="0"/>
        <v>0</v>
      </c>
      <c r="H5">
        <f t="shared" si="1"/>
        <v>0</v>
      </c>
      <c r="I5">
        <v>1.33</v>
      </c>
      <c r="J5">
        <v>0.67</v>
      </c>
    </row>
    <row r="6" spans="1:10" x14ac:dyDescent="0.25">
      <c r="A6" s="67"/>
      <c r="B6" s="67"/>
      <c r="C6" s="67"/>
      <c r="D6" s="67"/>
      <c r="E6" s="67"/>
      <c r="F6" s="67"/>
      <c r="G6">
        <f t="shared" si="0"/>
        <v>0</v>
      </c>
      <c r="H6">
        <f t="shared" si="1"/>
        <v>0</v>
      </c>
      <c r="I6">
        <v>1.33</v>
      </c>
      <c r="J6">
        <v>0.67</v>
      </c>
    </row>
    <row r="7" spans="1:10" x14ac:dyDescent="0.25">
      <c r="A7" s="67"/>
      <c r="B7" s="67"/>
      <c r="C7" s="67"/>
      <c r="D7" s="67"/>
      <c r="E7" s="67"/>
      <c r="F7" s="67"/>
      <c r="G7">
        <f t="shared" si="0"/>
        <v>0</v>
      </c>
      <c r="H7">
        <f t="shared" si="1"/>
        <v>0</v>
      </c>
      <c r="I7">
        <v>1.33</v>
      </c>
      <c r="J7">
        <v>0.67</v>
      </c>
    </row>
    <row r="8" spans="1:10" x14ac:dyDescent="0.25">
      <c r="A8" s="67"/>
      <c r="B8" s="67"/>
      <c r="C8" s="67"/>
      <c r="D8" s="67"/>
      <c r="E8" s="67"/>
      <c r="F8" s="67"/>
      <c r="G8">
        <f t="shared" si="0"/>
        <v>0</v>
      </c>
      <c r="H8">
        <f t="shared" si="1"/>
        <v>0</v>
      </c>
      <c r="I8">
        <v>1.33</v>
      </c>
      <c r="J8">
        <v>0.67</v>
      </c>
    </row>
    <row r="9" spans="1:10" x14ac:dyDescent="0.25">
      <c r="A9" s="67"/>
      <c r="B9" s="67"/>
      <c r="C9" s="67"/>
      <c r="D9" s="67"/>
      <c r="E9" s="67"/>
      <c r="F9" s="67"/>
      <c r="G9">
        <f t="shared" si="0"/>
        <v>0</v>
      </c>
      <c r="H9">
        <f t="shared" si="1"/>
        <v>0</v>
      </c>
      <c r="I9">
        <v>1.33</v>
      </c>
      <c r="J9">
        <v>0.67</v>
      </c>
    </row>
    <row r="10" spans="1:10" x14ac:dyDescent="0.25">
      <c r="A10" s="67"/>
      <c r="B10" s="67"/>
      <c r="C10" s="67"/>
      <c r="D10" s="67"/>
      <c r="E10" s="67"/>
      <c r="F10" s="67"/>
      <c r="G10">
        <f t="shared" si="0"/>
        <v>0</v>
      </c>
      <c r="H10">
        <f t="shared" si="1"/>
        <v>0</v>
      </c>
      <c r="I10">
        <v>1.33</v>
      </c>
      <c r="J10">
        <v>0.67</v>
      </c>
    </row>
    <row r="11" spans="1:10" x14ac:dyDescent="0.25">
      <c r="A11" s="67"/>
      <c r="B11" s="67"/>
      <c r="C11" s="67"/>
      <c r="D11" s="67"/>
      <c r="E11" s="67"/>
      <c r="F11" s="67"/>
      <c r="G11">
        <f t="shared" si="0"/>
        <v>0</v>
      </c>
      <c r="H11">
        <f t="shared" si="1"/>
        <v>0</v>
      </c>
      <c r="I11">
        <v>1.33</v>
      </c>
      <c r="J11">
        <v>0.67</v>
      </c>
    </row>
    <row r="12" spans="1:10" x14ac:dyDescent="0.25">
      <c r="A12" s="67"/>
      <c r="B12" s="67"/>
      <c r="C12" s="67"/>
      <c r="D12" s="67"/>
      <c r="E12" s="67"/>
      <c r="F12" s="67"/>
      <c r="G12">
        <f t="shared" si="0"/>
        <v>0</v>
      </c>
      <c r="H12">
        <f t="shared" si="1"/>
        <v>0</v>
      </c>
      <c r="I12">
        <v>1.33</v>
      </c>
      <c r="J12">
        <v>0.67</v>
      </c>
    </row>
    <row r="13" spans="1:10" x14ac:dyDescent="0.25">
      <c r="A13" s="67"/>
      <c r="B13" s="67"/>
      <c r="C13" s="67"/>
      <c r="D13" s="67"/>
      <c r="E13" s="67"/>
      <c r="F13" s="67"/>
      <c r="G13">
        <f t="shared" si="0"/>
        <v>0</v>
      </c>
      <c r="H13">
        <f t="shared" si="1"/>
        <v>0</v>
      </c>
      <c r="I13">
        <v>1.33</v>
      </c>
      <c r="J13">
        <v>0.67</v>
      </c>
    </row>
    <row r="14" spans="1:10" x14ac:dyDescent="0.25">
      <c r="A14" s="67"/>
      <c r="B14" s="67"/>
      <c r="C14" s="67"/>
      <c r="D14" s="67"/>
      <c r="E14" s="67"/>
      <c r="F14" s="67"/>
      <c r="G14">
        <f t="shared" si="0"/>
        <v>0</v>
      </c>
      <c r="H14">
        <f t="shared" si="1"/>
        <v>0</v>
      </c>
      <c r="I14">
        <v>1.33</v>
      </c>
      <c r="J14">
        <v>0.67</v>
      </c>
    </row>
    <row r="15" spans="1:10" x14ac:dyDescent="0.25">
      <c r="A15" s="67"/>
      <c r="B15" s="67"/>
      <c r="C15" s="67"/>
      <c r="D15" s="67"/>
      <c r="E15" s="67"/>
      <c r="F15" s="67"/>
      <c r="G15">
        <f t="shared" si="0"/>
        <v>0</v>
      </c>
      <c r="H15">
        <f t="shared" si="1"/>
        <v>0</v>
      </c>
      <c r="I15">
        <v>1.33</v>
      </c>
      <c r="J15">
        <v>0.67</v>
      </c>
    </row>
    <row r="16" spans="1:10" x14ac:dyDescent="0.25">
      <c r="A16" s="67"/>
      <c r="B16" s="67"/>
      <c r="C16" s="67"/>
      <c r="D16" s="67"/>
      <c r="E16" s="67"/>
      <c r="F16" s="67"/>
      <c r="G16">
        <f t="shared" si="0"/>
        <v>0</v>
      </c>
      <c r="H16">
        <f t="shared" si="1"/>
        <v>0</v>
      </c>
      <c r="I16">
        <v>1.33</v>
      </c>
      <c r="J16">
        <v>0.67</v>
      </c>
    </row>
    <row r="17" spans="1:10" x14ac:dyDescent="0.25">
      <c r="A17" s="67"/>
      <c r="B17" s="67"/>
      <c r="C17" s="67"/>
      <c r="D17" s="67"/>
      <c r="E17" s="67"/>
      <c r="F17" s="67"/>
      <c r="G17">
        <f t="shared" si="0"/>
        <v>0</v>
      </c>
      <c r="H17">
        <f t="shared" si="1"/>
        <v>0</v>
      </c>
      <c r="I17">
        <v>1.33</v>
      </c>
      <c r="J17">
        <v>0.67</v>
      </c>
    </row>
    <row r="20" spans="1:10" x14ac:dyDescent="0.25">
      <c r="B20" t="s">
        <v>47</v>
      </c>
    </row>
    <row r="21" spans="1:10" x14ac:dyDescent="0.25">
      <c r="B21" t="s">
        <v>49</v>
      </c>
    </row>
    <row r="22" spans="1:10" x14ac:dyDescent="0.25">
      <c r="B22" t="s">
        <v>48</v>
      </c>
    </row>
    <row r="23" spans="1:10" x14ac:dyDescent="0.25">
      <c r="B23" t="s">
        <v>50</v>
      </c>
    </row>
    <row r="24" spans="1:10" x14ac:dyDescent="0.25">
      <c r="B24" t="s">
        <v>51</v>
      </c>
    </row>
  </sheetData>
  <customSheetViews>
    <customSheetView guid="{07198B33-CC73-4AA7-9DB4-40B4BEF2EAD4}">
      <selection activeCell="E38" sqref="E3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workbookViewId="0">
      <selection activeCell="R12" sqref="R12"/>
    </sheetView>
  </sheetViews>
  <sheetFormatPr defaultColWidth="8.85546875" defaultRowHeight="15" x14ac:dyDescent="0.25"/>
  <sheetData/>
  <customSheetViews>
    <customSheetView guid="{07198B33-CC73-4AA7-9DB4-40B4BEF2EAD4}">
      <selection activeCell="F33" sqref="F33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3:H42"/>
  <sheetViews>
    <sheetView topLeftCell="A4" zoomScaleNormal="100" workbookViewId="0">
      <selection activeCell="I12" sqref="I12"/>
    </sheetView>
  </sheetViews>
  <sheetFormatPr defaultColWidth="8.85546875" defaultRowHeight="15" x14ac:dyDescent="0.25"/>
  <cols>
    <col min="1" max="1" width="6.85546875" customWidth="1"/>
    <col min="4" max="4" width="6.28515625" customWidth="1"/>
    <col min="6" max="6" width="4.28515625" customWidth="1"/>
    <col min="7" max="7" width="8.7109375" customWidth="1"/>
    <col min="8" max="8" width="16.28515625" bestFit="1" customWidth="1"/>
    <col min="9" max="9" width="16.42578125" bestFit="1" customWidth="1"/>
  </cols>
  <sheetData>
    <row r="3" spans="2:7" x14ac:dyDescent="0.25">
      <c r="B3" t="str">
        <f>'StepOne Data'!A1</f>
        <v>BWR_QS6_METHYL_XXXX_MMDDYY_XX</v>
      </c>
    </row>
    <row r="5" spans="2:7" x14ac:dyDescent="0.25">
      <c r="C5" s="66" t="s">
        <v>7</v>
      </c>
      <c r="E5" s="66" t="s">
        <v>0</v>
      </c>
    </row>
    <row r="6" spans="2:7" x14ac:dyDescent="0.25">
      <c r="B6" t="s">
        <v>65</v>
      </c>
      <c r="C6" s="81" t="s">
        <v>102</v>
      </c>
      <c r="E6" s="66"/>
    </row>
    <row r="7" spans="2:7" x14ac:dyDescent="0.25">
      <c r="B7" s="100" t="s">
        <v>87</v>
      </c>
      <c r="C7" s="75"/>
      <c r="E7" s="75"/>
    </row>
    <row r="8" spans="2:7" x14ac:dyDescent="0.25">
      <c r="B8" s="100"/>
      <c r="C8" s="76"/>
      <c r="E8" s="76"/>
      <c r="G8" t="s">
        <v>103</v>
      </c>
    </row>
    <row r="9" spans="2:7" x14ac:dyDescent="0.25">
      <c r="B9" s="100"/>
      <c r="C9" s="77"/>
      <c r="E9" s="77"/>
    </row>
    <row r="10" spans="2:7" x14ac:dyDescent="0.25">
      <c r="B10" s="100" t="s">
        <v>88</v>
      </c>
      <c r="C10" s="75"/>
      <c r="E10" s="75"/>
    </row>
    <row r="11" spans="2:7" x14ac:dyDescent="0.25">
      <c r="B11" s="100"/>
      <c r="C11" s="76"/>
      <c r="E11" s="76"/>
      <c r="G11" t="s">
        <v>103</v>
      </c>
    </row>
    <row r="12" spans="2:7" x14ac:dyDescent="0.25">
      <c r="B12" s="100"/>
      <c r="C12" s="77"/>
      <c r="E12" s="77"/>
    </row>
    <row r="13" spans="2:7" x14ac:dyDescent="0.25">
      <c r="B13" s="21" t="s">
        <v>66</v>
      </c>
      <c r="C13" s="68" t="e">
        <f>AVERAGE(C7:C12)</f>
        <v>#DIV/0!</v>
      </c>
      <c r="D13" s="21"/>
      <c r="E13" s="68" t="e">
        <f>AVERAGE(E7:E12)</f>
        <v>#DIV/0!</v>
      </c>
    </row>
    <row r="14" spans="2:7" x14ac:dyDescent="0.25">
      <c r="B14" s="21" t="s">
        <v>67</v>
      </c>
      <c r="C14" s="68" t="e">
        <f>STDEV(C7:C12)</f>
        <v>#DIV/0!</v>
      </c>
      <c r="D14" s="21"/>
      <c r="E14" s="68" t="e">
        <f>STDEV(E7:E12)</f>
        <v>#DIV/0!</v>
      </c>
    </row>
    <row r="15" spans="2:7" x14ac:dyDescent="0.25">
      <c r="B15" t="s">
        <v>70</v>
      </c>
      <c r="C15" s="66" t="e">
        <f>C13-(2*C14)</f>
        <v>#DIV/0!</v>
      </c>
      <c r="E15" s="66" t="e">
        <f>E13-(2*E14)</f>
        <v>#DIV/0!</v>
      </c>
    </row>
    <row r="16" spans="2:7" x14ac:dyDescent="0.25">
      <c r="B16" t="s">
        <v>71</v>
      </c>
      <c r="C16" s="66" t="e">
        <f>C13+(2*C14)</f>
        <v>#DIV/0!</v>
      </c>
      <c r="E16" s="66" t="e">
        <f>E13+(2*E14)</f>
        <v>#DIV/0!</v>
      </c>
    </row>
    <row r="17" spans="2:8" ht="15.75" thickBot="1" x14ac:dyDescent="0.3">
      <c r="C17" s="66"/>
      <c r="E17" s="66"/>
    </row>
    <row r="18" spans="2:8" ht="15.75" thickBot="1" x14ac:dyDescent="0.3">
      <c r="B18" t="s">
        <v>68</v>
      </c>
      <c r="C18" s="66"/>
      <c r="E18" s="66"/>
      <c r="G18" s="103" t="s">
        <v>7</v>
      </c>
      <c r="H18" s="104"/>
    </row>
    <row r="19" spans="2:8" ht="15.75" thickBot="1" x14ac:dyDescent="0.3">
      <c r="B19" s="100" t="s">
        <v>87</v>
      </c>
      <c r="C19" s="75"/>
      <c r="E19" s="75"/>
      <c r="G19" s="105" t="s">
        <v>72</v>
      </c>
      <c r="H19" s="106"/>
    </row>
    <row r="20" spans="2:8" x14ac:dyDescent="0.25">
      <c r="B20" s="100"/>
      <c r="C20" s="76"/>
      <c r="E20" s="76"/>
      <c r="G20" s="101" t="s">
        <v>73</v>
      </c>
      <c r="H20" s="74" t="s">
        <v>75</v>
      </c>
    </row>
    <row r="21" spans="2:8" ht="15.75" thickBot="1" x14ac:dyDescent="0.3">
      <c r="B21" s="100"/>
      <c r="C21" s="76"/>
      <c r="E21" s="76"/>
      <c r="G21" s="102"/>
      <c r="H21" s="73" t="s">
        <v>76</v>
      </c>
    </row>
    <row r="22" spans="2:8" x14ac:dyDescent="0.25">
      <c r="B22" s="100"/>
      <c r="C22" s="76"/>
      <c r="E22" s="76"/>
      <c r="G22" s="101" t="s">
        <v>74</v>
      </c>
      <c r="H22" s="72" t="s">
        <v>75</v>
      </c>
    </row>
    <row r="23" spans="2:8" ht="15.75" thickBot="1" x14ac:dyDescent="0.3">
      <c r="B23" s="100"/>
      <c r="C23" s="76"/>
      <c r="E23" s="76"/>
      <c r="G23" s="102"/>
      <c r="H23" s="73" t="s">
        <v>76</v>
      </c>
    </row>
    <row r="24" spans="2:8" ht="15.75" thickBot="1" x14ac:dyDescent="0.3">
      <c r="B24" s="100"/>
      <c r="C24" s="76"/>
      <c r="E24" s="76"/>
      <c r="H24" s="71"/>
    </row>
    <row r="25" spans="2:8" ht="15.75" thickBot="1" x14ac:dyDescent="0.3">
      <c r="B25" s="100"/>
      <c r="C25" s="76"/>
      <c r="E25" s="76"/>
      <c r="G25" s="103" t="s">
        <v>0</v>
      </c>
      <c r="H25" s="104"/>
    </row>
    <row r="26" spans="2:8" ht="15.75" thickBot="1" x14ac:dyDescent="0.3">
      <c r="B26" s="100"/>
      <c r="C26" s="76"/>
      <c r="E26" s="76"/>
      <c r="G26" s="105" t="s">
        <v>72</v>
      </c>
      <c r="H26" s="106"/>
    </row>
    <row r="27" spans="2:8" x14ac:dyDescent="0.25">
      <c r="B27" s="100"/>
      <c r="C27" s="77"/>
      <c r="E27" s="77"/>
      <c r="G27" s="101" t="s">
        <v>73</v>
      </c>
      <c r="H27" s="72" t="s">
        <v>75</v>
      </c>
    </row>
    <row r="28" spans="2:8" ht="15.75" thickBot="1" x14ac:dyDescent="0.3">
      <c r="B28" s="100" t="s">
        <v>88</v>
      </c>
      <c r="C28" s="75"/>
      <c r="E28" s="75"/>
      <c r="G28" s="102"/>
      <c r="H28" s="73" t="s">
        <v>76</v>
      </c>
    </row>
    <row r="29" spans="2:8" x14ac:dyDescent="0.25">
      <c r="B29" s="100"/>
      <c r="C29" s="76"/>
      <c r="E29" s="76"/>
      <c r="G29" s="101" t="s">
        <v>74</v>
      </c>
      <c r="H29" s="72" t="s">
        <v>75</v>
      </c>
    </row>
    <row r="30" spans="2:8" ht="15.75" thickBot="1" x14ac:dyDescent="0.3">
      <c r="B30" s="100"/>
      <c r="C30" s="76"/>
      <c r="E30" s="76"/>
      <c r="G30" s="102"/>
      <c r="H30" s="73" t="s">
        <v>76</v>
      </c>
    </row>
    <row r="31" spans="2:8" x14ac:dyDescent="0.25">
      <c r="B31" s="100"/>
      <c r="C31" s="76"/>
      <c r="E31" s="76"/>
    </row>
    <row r="32" spans="2:8" x14ac:dyDescent="0.25">
      <c r="B32" s="100"/>
      <c r="C32" s="76"/>
      <c r="E32" s="76"/>
    </row>
    <row r="33" spans="2:5" x14ac:dyDescent="0.25">
      <c r="B33" s="100"/>
      <c r="C33" s="76"/>
      <c r="E33" s="76"/>
    </row>
    <row r="34" spans="2:5" x14ac:dyDescent="0.25">
      <c r="B34" s="100"/>
      <c r="C34" s="76"/>
      <c r="E34" s="76"/>
    </row>
    <row r="35" spans="2:5" x14ac:dyDescent="0.25">
      <c r="B35" s="100"/>
      <c r="C35" s="76"/>
      <c r="E35" s="76"/>
    </row>
    <row r="36" spans="2:5" x14ac:dyDescent="0.25">
      <c r="B36" s="100"/>
      <c r="C36" s="77"/>
      <c r="E36" s="77"/>
    </row>
    <row r="37" spans="2:5" x14ac:dyDescent="0.25">
      <c r="B37" s="21" t="s">
        <v>66</v>
      </c>
      <c r="C37" s="68" t="e">
        <f>AVERAGE(C19:C36)</f>
        <v>#DIV/0!</v>
      </c>
      <c r="D37" s="21"/>
      <c r="E37" s="68" t="e">
        <f>AVERAGE(E19:E36)</f>
        <v>#DIV/0!</v>
      </c>
    </row>
    <row r="38" spans="2:5" x14ac:dyDescent="0.25">
      <c r="B38" s="21" t="s">
        <v>67</v>
      </c>
      <c r="C38" s="68" t="e">
        <f>STDEV(C19:C36)</f>
        <v>#DIV/0!</v>
      </c>
      <c r="D38" s="21"/>
      <c r="E38" s="68" t="e">
        <f>STDEV(E19:E36)</f>
        <v>#DIV/0!</v>
      </c>
    </row>
    <row r="39" spans="2:5" x14ac:dyDescent="0.25">
      <c r="B39" t="s">
        <v>70</v>
      </c>
      <c r="C39" s="66" t="e">
        <f>C37-(2*C38)</f>
        <v>#DIV/0!</v>
      </c>
      <c r="E39" s="66" t="e">
        <f>E37-(2*E38)</f>
        <v>#DIV/0!</v>
      </c>
    </row>
    <row r="40" spans="2:5" x14ac:dyDescent="0.25">
      <c r="B40" t="s">
        <v>71</v>
      </c>
      <c r="C40" s="66" t="e">
        <f>C37+(2*C38)</f>
        <v>#DIV/0!</v>
      </c>
      <c r="E40" s="66" t="e">
        <f>E37+(2*E38)</f>
        <v>#DIV/0!</v>
      </c>
    </row>
    <row r="42" spans="2:5" x14ac:dyDescent="0.25">
      <c r="C42" s="28"/>
    </row>
  </sheetData>
  <mergeCells count="12">
    <mergeCell ref="B28:B36"/>
    <mergeCell ref="B19:B27"/>
    <mergeCell ref="B7:B9"/>
    <mergeCell ref="B10:B12"/>
    <mergeCell ref="G27:G28"/>
    <mergeCell ref="G29:G30"/>
    <mergeCell ref="G18:H18"/>
    <mergeCell ref="G19:H19"/>
    <mergeCell ref="G20:G21"/>
    <mergeCell ref="G22:G23"/>
    <mergeCell ref="G25:H25"/>
    <mergeCell ref="G26:H26"/>
  </mergeCells>
  <conditionalFormatting sqref="G26">
    <cfRule type="expression" dxfId="17" priority="23">
      <formula>AND($E$15&gt;=$E$39,$E$15&lt;=$E$40)</formula>
    </cfRule>
    <cfRule type="expression" dxfId="16" priority="24">
      <formula>AND($E$16&gt;=$E$39,$E$16&lt;=$E$40)</formula>
    </cfRule>
    <cfRule type="expression" dxfId="15" priority="25">
      <formula>AND($E$39&lt;=$E$13, $E$13&lt;=$E$40)</formula>
    </cfRule>
  </conditionalFormatting>
  <conditionalFormatting sqref="G29">
    <cfRule type="expression" dxfId="14" priority="26">
      <formula>$E$15&gt;$E$40</formula>
    </cfRule>
  </conditionalFormatting>
  <conditionalFormatting sqref="G27">
    <cfRule type="expression" dxfId="13" priority="27">
      <formula>$E$16&lt;$E$39</formula>
    </cfRule>
  </conditionalFormatting>
  <conditionalFormatting sqref="H27">
    <cfRule type="expression" dxfId="12" priority="28">
      <formula>AND(($E$37-0.05)&lt;$E$13,$E$13&lt;=$E$39,$E$13&lt;=($E$37-0.03))</formula>
    </cfRule>
  </conditionalFormatting>
  <conditionalFormatting sqref="H28">
    <cfRule type="expression" dxfId="11" priority="29">
      <formula>AND(($E$37-0.1)&lt;$E$13,$E$13&lt;=($E$37-0.05))</formula>
    </cfRule>
  </conditionalFormatting>
  <conditionalFormatting sqref="G19">
    <cfRule type="expression" dxfId="10" priority="30">
      <formula>AND($C$15&gt;=$C$39,$C$15&lt;=$C$40)</formula>
    </cfRule>
    <cfRule type="expression" dxfId="9" priority="31">
      <formula>AND($C$16&gt;=$C$39,$C$16&lt;=$C$40)</formula>
    </cfRule>
    <cfRule type="expression" dxfId="8" priority="32">
      <formula>AND($C$39&lt;=$C$13, $C$13&lt;=$C$40)</formula>
    </cfRule>
  </conditionalFormatting>
  <conditionalFormatting sqref="G22">
    <cfRule type="expression" dxfId="7" priority="33">
      <formula>$C$15&gt;$C$40</formula>
    </cfRule>
  </conditionalFormatting>
  <conditionalFormatting sqref="G20">
    <cfRule type="expression" dxfId="6" priority="34">
      <formula>$C$16&lt;$C$39</formula>
    </cfRule>
  </conditionalFormatting>
  <conditionalFormatting sqref="H20">
    <cfRule type="expression" dxfId="5" priority="35">
      <formula>AND(($C$37-0.05)&lt;=$C$13,$C$13&lt;=$C$39,$C$13&lt;=($C$37-0.03))</formula>
    </cfRule>
  </conditionalFormatting>
  <conditionalFormatting sqref="H21">
    <cfRule type="expression" dxfId="4" priority="36">
      <formula>AND(($C$37-0.1)&lt;$C$13,$C$13&lt;=($C$37-0.05))</formula>
    </cfRule>
  </conditionalFormatting>
  <conditionalFormatting sqref="H22">
    <cfRule type="expression" dxfId="3" priority="37">
      <formula>AND(($C$37+0.03)&lt;=$C$13,$C$13&gt;=$C$40,$C$13&lt;($C$37+0.05))</formula>
    </cfRule>
  </conditionalFormatting>
  <conditionalFormatting sqref="H23">
    <cfRule type="expression" dxfId="2" priority="38">
      <formula>AND(($C$37+0.1)&gt;$C$13,$C$13&gt;=($C$37+0.05))</formula>
    </cfRule>
  </conditionalFormatting>
  <conditionalFormatting sqref="H29">
    <cfRule type="expression" dxfId="1" priority="39">
      <formula>AND(($E$37+0.03)&lt;=$E$13,$E$13&gt;=$E$40,$E$13&lt;($E$37+0.05))</formula>
    </cfRule>
  </conditionalFormatting>
  <conditionalFormatting sqref="H30">
    <cfRule type="expression" dxfId="0" priority="40">
      <formula>AND(($E$37+0.1)&gt;$E$13,$E$13&gt;=($E$37+0.05))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Print Me</vt:lpstr>
      <vt:lpstr>Final</vt:lpstr>
      <vt:lpstr>Summarized Data</vt:lpstr>
      <vt:lpstr>StepOne Data</vt:lpstr>
      <vt:lpstr>RAW DATA</vt:lpstr>
      <vt:lpstr>CN DATA</vt:lpstr>
      <vt:lpstr>GRAPH</vt:lpstr>
      <vt:lpstr>Sheet1</vt:lpstr>
      <vt:lpstr>GDL GRAPH</vt:lpstr>
      <vt:lpstr>'Print Me'!Print_Area</vt:lpstr>
      <vt:lpstr>'Summarized Data'!Print_Area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School of Medicine</dc:creator>
  <cp:lastModifiedBy>Nguyen, Anh H</cp:lastModifiedBy>
  <cp:lastPrinted>2025-11-07T14:02:56Z</cp:lastPrinted>
  <dcterms:created xsi:type="dcterms:W3CDTF">2011-10-27T20:36:47Z</dcterms:created>
  <dcterms:modified xsi:type="dcterms:W3CDTF">2026-04-27T22:06:03Z</dcterms:modified>
</cp:coreProperties>
</file>